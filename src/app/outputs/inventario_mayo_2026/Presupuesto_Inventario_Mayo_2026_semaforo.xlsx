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Validacion" sheetId="2" state="visible" r:id="rId2"/>
  </sheets>
  <definedNames>
    <definedName name="_xlnm._FilterDatabase" localSheetId="0" hidden="1">'Hoja1'!$A$2:$N$28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1F4E78"/>
      <sz val="14"/>
    </font>
    <font>
      <name val="Calibri"/>
      <b val="1"/>
      <sz val="11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E7E6E6"/>
      </patternFill>
    </fill>
    <fill>
      <patternFill patternType="solid">
        <fgColor rgb="FFBFBFBF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9" fontId="1" fillId="0" borderId="0"/>
  </cellStyleXfs>
  <cellXfs count="57">
    <xf numFmtId="0" fontId="0" fillId="0" borderId="0" pivotButton="0" quotePrefix="0" xfId="0"/>
    <xf numFmtId="2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  <xf numFmtId="10" fontId="0" fillId="0" borderId="2" pivotButton="0" quotePrefix="0" xfId="1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pivotButton="0" quotePrefix="0" xfId="0"/>
    <xf numFmtId="10" fontId="2" fillId="2" borderId="1" pivotButton="0" quotePrefix="0" xfId="1"/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3" fontId="2" fillId="2" borderId="2" pivotButton="0" quotePrefix="0" xfId="0"/>
    <xf numFmtId="10" fontId="2" fillId="2" borderId="2" pivotButton="0" quotePrefix="0" xfId="1"/>
    <xf numFmtId="0" fontId="2" fillId="2" borderId="3" applyAlignment="1" pivotButton="0" quotePrefix="0" xfId="0">
      <alignment horizontal="center"/>
    </xf>
    <xf numFmtId="0" fontId="2" fillId="2" borderId="3" pivotButton="0" quotePrefix="0" xfId="0"/>
    <xf numFmtId="3" fontId="2" fillId="2" borderId="3" pivotButton="0" quotePrefix="0" xfId="0"/>
    <xf numFmtId="10" fontId="2" fillId="2" borderId="3" pivotButton="0" quotePrefix="0" xfId="1"/>
    <xf numFmtId="10" fontId="1" fillId="0" borderId="2" pivotButton="0" quotePrefix="0" xfId="1"/>
    <xf numFmtId="3" fontId="2" fillId="3" borderId="2" applyAlignment="1" pivotButton="0" quotePrefix="0" xfId="0">
      <alignment horizontal="right" vertical="center"/>
    </xf>
    <xf numFmtId="3" fontId="2" fillId="2" borderId="2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2" fillId="2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16" fontId="4" fillId="4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/>
    </xf>
    <xf numFmtId="0" fontId="4" fillId="5" borderId="5" applyAlignment="1" pivotButton="0" quotePrefix="0" xfId="0">
      <alignment vertical="center"/>
    </xf>
    <xf numFmtId="3" fontId="4" fillId="5" borderId="5" applyAlignment="1" pivotButton="0" quotePrefix="0" xfId="0">
      <alignment horizontal="right"/>
    </xf>
    <xf numFmtId="3" fontId="4" fillId="5" borderId="5" applyAlignment="1" pivotButton="0" quotePrefix="0" xfId="1">
      <alignment horizontal="right"/>
    </xf>
    <xf numFmtId="10" fontId="4" fillId="5" borderId="5" applyAlignment="1" pivotButton="0" quotePrefix="0" xfId="0">
      <alignment horizontal="right"/>
    </xf>
    <xf numFmtId="10" fontId="4" fillId="5" borderId="5" applyAlignment="1" pivotButton="0" quotePrefix="0" xfId="1">
      <alignment horizontal="right"/>
    </xf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vertical="center"/>
    </xf>
    <xf numFmtId="3" fontId="0" fillId="0" borderId="5" applyAlignment="1" pivotButton="0" quotePrefix="0" xfId="0">
      <alignment horizontal="right"/>
    </xf>
    <xf numFmtId="3" fontId="0" fillId="0" borderId="5" applyAlignment="1" pivotButton="0" quotePrefix="0" xfId="1">
      <alignment horizontal="right"/>
    </xf>
    <xf numFmtId="10" fontId="0" fillId="0" borderId="5" applyAlignment="1" pivotButton="0" quotePrefix="0" xfId="0">
      <alignment horizontal="right"/>
    </xf>
    <xf numFmtId="3" fontId="2" fillId="0" borderId="5" applyAlignment="1" pivotButton="0" quotePrefix="0" xfId="0">
      <alignment horizontal="right"/>
    </xf>
    <xf numFmtId="10" fontId="1" fillId="0" borderId="5" applyAlignment="1" pivotButton="0" quotePrefix="0" xfId="1">
      <alignment horizontal="right"/>
    </xf>
    <xf numFmtId="10" fontId="0" fillId="0" borderId="5" applyAlignment="1" pivotButton="0" quotePrefix="0" xfId="1">
      <alignment horizontal="right"/>
    </xf>
    <xf numFmtId="2" fontId="0" fillId="0" borderId="5" applyAlignment="1" pivotButton="0" quotePrefix="0" xfId="0">
      <alignment horizontal="center"/>
    </xf>
    <xf numFmtId="0" fontId="4" fillId="6" borderId="5" applyAlignment="1" pivotButton="0" quotePrefix="0" xfId="0">
      <alignment horizontal="center"/>
    </xf>
    <xf numFmtId="0" fontId="4" fillId="6" borderId="5" applyAlignment="1" pivotButton="0" quotePrefix="0" xfId="0">
      <alignment vertical="center"/>
    </xf>
    <xf numFmtId="3" fontId="4" fillId="6" borderId="5" applyAlignment="1" pivotButton="0" quotePrefix="0" xfId="0">
      <alignment horizontal="right"/>
    </xf>
    <xf numFmtId="3" fontId="4" fillId="6" borderId="5" applyAlignment="1" pivotButton="0" quotePrefix="0" xfId="1">
      <alignment horizontal="right"/>
    </xf>
    <xf numFmtId="10" fontId="4" fillId="6" borderId="5" applyAlignment="1" pivotButton="0" quotePrefix="0" xfId="0">
      <alignment horizontal="right"/>
    </xf>
    <xf numFmtId="10" fontId="4" fillId="6" borderId="5" applyAlignment="1" pivotButton="0" quotePrefix="0" xfId="1">
      <alignment horizontal="right"/>
    </xf>
    <xf numFmtId="0" fontId="4" fillId="7" borderId="5" applyAlignment="1" pivotButton="0" quotePrefix="0" xfId="0">
      <alignment horizontal="center"/>
    </xf>
    <xf numFmtId="0" fontId="4" fillId="7" borderId="5" applyAlignment="1" pivotButton="0" quotePrefix="0" xfId="0">
      <alignment vertical="center"/>
    </xf>
    <xf numFmtId="3" fontId="4" fillId="7" borderId="5" applyAlignment="1" pivotButton="0" quotePrefix="0" xfId="0">
      <alignment horizontal="right"/>
    </xf>
    <xf numFmtId="3" fontId="4" fillId="7" borderId="5" applyAlignment="1" pivotButton="0" quotePrefix="0" xfId="1">
      <alignment horizontal="right"/>
    </xf>
    <xf numFmtId="10" fontId="4" fillId="7" borderId="5" applyAlignment="1" pivotButton="0" quotePrefix="0" xfId="0">
      <alignment horizontal="right"/>
    </xf>
    <xf numFmtId="10" fontId="4" fillId="7" borderId="5" applyAlignment="1" pivotButton="0" quotePrefix="0" xfId="1">
      <alignment horizontal="right"/>
    </xf>
    <xf numFmtId="0" fontId="5" fillId="8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</cellXfs>
  <cellStyles count="2">
    <cellStyle name="Normal" xfId="0" builtinId="0"/>
    <cellStyle name="Porcentaje" xfId="1" builtinId="5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25" authorId="0" shapeId="0">
      <text>
        <t>Validar cruce: en stock 02/05 aparece GPC025 como GPC025 APU - ABANCAY y en stock 08/05 como GPC025 APU - ABANCAY. Se conserva el nombre del presupuesto/margen enviado.</t>
      </text>
    </comment>
    <comment ref="B26" authorId="0" shapeId="0">
      <text>
        <t>Validar cruce: en stock 02/05 aparece GPC026 como GPC026 ICA - ICA y en stock 08/05 como GPC026 ICA - ICA. Se conserva el nombre del presupuesto/margen enviado.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tabSelected="1" topLeftCell="A2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RowHeight="14.4"/>
  <cols>
    <col width="8" customWidth="1" min="1" max="1"/>
    <col width="32" customWidth="1" min="2" max="2"/>
    <col width="14" customWidth="1" min="3" max="3"/>
    <col width="12" customWidth="1" min="4" max="4"/>
    <col width="16" customWidth="1" min="5" max="5"/>
    <col width="12" customWidth="1" min="6" max="6"/>
    <col width="15" customWidth="1" min="7" max="8"/>
    <col width="18" customWidth="1" min="9" max="10"/>
    <col width="15" customWidth="1" min="11" max="11"/>
    <col width="13" customWidth="1" min="12" max="12"/>
    <col width="15" customWidth="1" min="13" max="13"/>
    <col width="12" customWidth="1" min="14" max="14"/>
  </cols>
  <sheetData>
    <row r="1" ht="24" customHeight="1">
      <c r="A1" s="23" t="inlineStr">
        <is>
          <t>Presupuesto de Inventario Mayo 2026</t>
        </is>
      </c>
      <c r="F1" s="1" t="n"/>
      <c r="G1" s="24" t="inlineStr">
        <is>
          <t>Factor</t>
        </is>
      </c>
      <c r="H1" s="1">
        <f>36/30</f>
        <v/>
      </c>
    </row>
    <row r="2" ht="42" customHeight="1">
      <c r="A2" s="25" t="inlineStr">
        <is>
          <t>Nro.</t>
        </is>
      </c>
      <c r="B2" s="25" t="inlineStr">
        <is>
          <t>TIENDA</t>
        </is>
      </c>
      <c r="C2" s="25" t="inlineStr">
        <is>
          <t>Ppto May 26</t>
        </is>
      </c>
      <c r="D2" s="25" t="inlineStr">
        <is>
          <t>Mix</t>
        </is>
      </c>
      <c r="E2" s="25" t="inlineStr">
        <is>
          <t>Venta acumulada</t>
        </is>
      </c>
      <c r="F2" s="25" t="inlineStr">
        <is>
          <t>Margen %</t>
        </is>
      </c>
      <c r="G2" s="26" t="inlineStr">
        <is>
          <t>Costo de venta</t>
        </is>
      </c>
      <c r="H2" s="26" t="inlineStr">
        <is>
          <t>Ppto
Inventario</t>
        </is>
      </c>
      <c r="I2" s="26" t="inlineStr">
        <is>
          <t>02/05/2026
VALORIZADO INVENTARIO</t>
        </is>
      </c>
      <c r="J2" s="26" t="inlineStr">
        <is>
          <t>08/05/2026
VALORIZADO INVENTARIO</t>
        </is>
      </c>
      <c r="K2" s="26" t="inlineStr">
        <is>
          <t>Dif [S/]
Inventario</t>
        </is>
      </c>
      <c r="L2" s="26" t="inlineStr">
        <is>
          <t>Dif [%]
Inventario</t>
        </is>
      </c>
      <c r="M2" s="26" t="inlineStr">
        <is>
          <t>Dif [S/]
Resp ppto</t>
        </is>
      </c>
      <c r="N2" s="25" t="inlineStr">
        <is>
          <t>Cump. %</t>
        </is>
      </c>
    </row>
    <row r="3">
      <c r="A3" s="27" t="n">
        <v>1</v>
      </c>
      <c r="B3" s="28" t="inlineStr">
        <is>
          <t>CANAL RETAIL</t>
        </is>
      </c>
      <c r="C3" s="29">
        <f>SUM(C4:C26)</f>
        <v/>
      </c>
      <c r="D3" s="30">
        <f>SUM(D4:D26)</f>
        <v/>
      </c>
      <c r="E3" s="29">
        <f>SUM(E4:E26)</f>
        <v/>
      </c>
      <c r="F3" s="31">
        <f>IFERROR(1-G3/E3,0)</f>
        <v/>
      </c>
      <c r="G3" s="29">
        <f>SUM(G4:G26)</f>
        <v/>
      </c>
      <c r="H3" s="29">
        <f>SUM(H4:H26)</f>
        <v/>
      </c>
      <c r="I3" s="29">
        <f>SUM(I4:I26)</f>
        <v/>
      </c>
      <c r="J3" s="29">
        <f>SUM(J4:J26)</f>
        <v/>
      </c>
      <c r="K3" s="29">
        <f>J3-I3</f>
        <v/>
      </c>
      <c r="L3" s="32">
        <f>IFERROR(K3/I3,0)</f>
        <v/>
      </c>
      <c r="M3" s="29">
        <f>J3-H3</f>
        <v/>
      </c>
      <c r="N3" s="32">
        <f>IFERROR(J3/H3,0)</f>
        <v/>
      </c>
    </row>
    <row r="4">
      <c r="A4" s="33" t="inlineStr">
        <is>
          <t>1.1</t>
        </is>
      </c>
      <c r="B4" s="34" t="inlineStr">
        <is>
          <t>GPC001 PERLA</t>
        </is>
      </c>
      <c r="C4" s="35" t="n">
        <v>1000000</v>
      </c>
      <c r="D4" s="36" t="n">
        <v>850000</v>
      </c>
      <c r="E4" s="35" t="n">
        <v>921413</v>
      </c>
      <c r="F4" s="37" t="n">
        <v>0.3043</v>
      </c>
      <c r="G4" s="35">
        <f>E4*(1-F4)</f>
        <v/>
      </c>
      <c r="H4" s="35">
        <f>G4*$H$1</f>
        <v/>
      </c>
      <c r="I4" s="35" t="n">
        <v>584633.46</v>
      </c>
      <c r="J4" s="35" t="n">
        <v>553471.29</v>
      </c>
      <c r="K4" s="38">
        <f>J4-I4</f>
        <v/>
      </c>
      <c r="L4" s="39">
        <f>IFERROR(K4/I4,0)</f>
        <v/>
      </c>
      <c r="M4" s="35">
        <f>J4-H4</f>
        <v/>
      </c>
      <c r="N4" s="40">
        <f>IFERROR(J4/H4,0)</f>
        <v/>
      </c>
    </row>
    <row r="5">
      <c r="A5" s="33" t="inlineStr">
        <is>
          <t>1.2</t>
        </is>
      </c>
      <c r="B5" s="34" t="inlineStr">
        <is>
          <t>GPC002 SUMINISTRO</t>
        </is>
      </c>
      <c r="C5" s="35" t="n">
        <v>320000</v>
      </c>
      <c r="D5" s="36" t="n">
        <v>272000</v>
      </c>
      <c r="E5" s="35" t="n">
        <v>258896</v>
      </c>
      <c r="F5" s="37" t="n">
        <v>0.3492</v>
      </c>
      <c r="G5" s="35">
        <f>E5*(1-F5)</f>
        <v/>
      </c>
      <c r="H5" s="35">
        <f>G5*$H$1</f>
        <v/>
      </c>
      <c r="I5" s="35" t="n">
        <v>360423.04</v>
      </c>
      <c r="J5" s="35" t="n">
        <v>352103.53</v>
      </c>
      <c r="K5" s="38">
        <f>J5-I5</f>
        <v/>
      </c>
      <c r="L5" s="39">
        <f>IFERROR(K5/I5,0)</f>
        <v/>
      </c>
      <c r="M5" s="35">
        <f>J5-H5</f>
        <v/>
      </c>
      <c r="N5" s="40">
        <f>IFERROR(J5/H5,0)</f>
        <v/>
      </c>
    </row>
    <row r="6">
      <c r="A6" s="33" t="inlineStr">
        <is>
          <t>1.3</t>
        </is>
      </c>
      <c r="B6" s="34" t="inlineStr">
        <is>
          <t>GPC003 GRUPO</t>
        </is>
      </c>
      <c r="C6" s="35" t="n">
        <v>520000</v>
      </c>
      <c r="D6" s="36" t="n">
        <v>442000</v>
      </c>
      <c r="E6" s="35" t="n">
        <v>447428</v>
      </c>
      <c r="F6" s="37" t="n">
        <v>0.3011</v>
      </c>
      <c r="G6" s="35">
        <f>E6*(1-F6)</f>
        <v/>
      </c>
      <c r="H6" s="35">
        <f>G6*$H$1</f>
        <v/>
      </c>
      <c r="I6" s="35" t="n">
        <v>399034.54</v>
      </c>
      <c r="J6" s="35" t="n">
        <v>396157.99</v>
      </c>
      <c r="K6" s="38">
        <f>J6-I6</f>
        <v/>
      </c>
      <c r="L6" s="39">
        <f>IFERROR(K6/I6,0)</f>
        <v/>
      </c>
      <c r="M6" s="35">
        <f>J6-H6</f>
        <v/>
      </c>
      <c r="N6" s="40">
        <f>IFERROR(J6/H6,0)</f>
        <v/>
      </c>
    </row>
    <row r="7">
      <c r="A7" s="33" t="inlineStr">
        <is>
          <t>1.4</t>
        </is>
      </c>
      <c r="B7" s="34" t="inlineStr">
        <is>
          <t>GPC006 CALLAO</t>
        </is>
      </c>
      <c r="C7" s="35" t="n">
        <v>230000</v>
      </c>
      <c r="D7" s="36" t="n">
        <v>195500</v>
      </c>
      <c r="E7" s="35" t="n">
        <v>166038</v>
      </c>
      <c r="F7" s="37" t="n">
        <v>0.324</v>
      </c>
      <c r="G7" s="35">
        <f>E7*(1-F7)</f>
        <v/>
      </c>
      <c r="H7" s="35">
        <f>G7*$H$1</f>
        <v/>
      </c>
      <c r="I7" s="35" t="n">
        <v>247623.72</v>
      </c>
      <c r="J7" s="35" t="n">
        <v>261417.63</v>
      </c>
      <c r="K7" s="38">
        <f>J7-I7</f>
        <v/>
      </c>
      <c r="L7" s="39">
        <f>IFERROR(K7/I7,0)</f>
        <v/>
      </c>
      <c r="M7" s="35">
        <f>J7-H7</f>
        <v/>
      </c>
      <c r="N7" s="40">
        <f>IFERROR(J7/H7,0)</f>
        <v/>
      </c>
    </row>
    <row r="8">
      <c r="A8" s="33" t="inlineStr">
        <is>
          <t>1.5</t>
        </is>
      </c>
      <c r="B8" s="34" t="inlineStr">
        <is>
          <t>GPC007 TRUJILLO</t>
        </is>
      </c>
      <c r="C8" s="35" t="n">
        <v>520000</v>
      </c>
      <c r="D8" s="36" t="n">
        <v>442000</v>
      </c>
      <c r="E8" s="35" t="n">
        <v>418816</v>
      </c>
      <c r="F8" s="37" t="n">
        <v>0.3489</v>
      </c>
      <c r="G8" s="35">
        <f>E8*(1-F8)</f>
        <v/>
      </c>
      <c r="H8" s="35">
        <f>G8*$H$1</f>
        <v/>
      </c>
      <c r="I8" s="35" t="n">
        <v>453263.56</v>
      </c>
      <c r="J8" s="35" t="n">
        <v>460495.42</v>
      </c>
      <c r="K8" s="38">
        <f>J8-I8</f>
        <v/>
      </c>
      <c r="L8" s="39">
        <f>IFERROR(K8/I8,0)</f>
        <v/>
      </c>
      <c r="M8" s="35">
        <f>J8-H8</f>
        <v/>
      </c>
      <c r="N8" s="40">
        <f>IFERROR(J8/H8,0)</f>
        <v/>
      </c>
    </row>
    <row r="9">
      <c r="A9" s="33" t="inlineStr">
        <is>
          <t>1.6</t>
        </is>
      </c>
      <c r="B9" s="34" t="inlineStr">
        <is>
          <t>GPC008 CH. DIAMANTE</t>
        </is>
      </c>
      <c r="C9" s="35" t="n">
        <v>320000</v>
      </c>
      <c r="D9" s="36" t="n">
        <v>272000</v>
      </c>
      <c r="E9" s="35" t="n">
        <v>279568</v>
      </c>
      <c r="F9" s="37" t="n">
        <v>0.321</v>
      </c>
      <c r="G9" s="35">
        <f>E9*(1-F9)</f>
        <v/>
      </c>
      <c r="H9" s="35">
        <f>G9*$H$1</f>
        <v/>
      </c>
      <c r="I9" s="35" t="n">
        <v>369247.44</v>
      </c>
      <c r="J9" s="35" t="n">
        <v>372870.47</v>
      </c>
      <c r="K9" s="38">
        <f>J9-I9</f>
        <v/>
      </c>
      <c r="L9" s="39">
        <f>IFERROR(K9/I9,0)</f>
        <v/>
      </c>
      <c r="M9" s="35">
        <f>J9-H9</f>
        <v/>
      </c>
      <c r="N9" s="40">
        <f>IFERROR(J9/H9,0)</f>
        <v/>
      </c>
    </row>
    <row r="10">
      <c r="A10" s="33" t="inlineStr">
        <is>
          <t>1.7</t>
        </is>
      </c>
      <c r="B10" s="34" t="inlineStr">
        <is>
          <t>GPC009 CH. LEGUIA</t>
        </is>
      </c>
      <c r="C10" s="35" t="n">
        <v>250000</v>
      </c>
      <c r="D10" s="36" t="n">
        <v>212500</v>
      </c>
      <c r="E10" s="35" t="n">
        <v>173859</v>
      </c>
      <c r="F10" s="37" t="n">
        <v>0.3066</v>
      </c>
      <c r="G10" s="35">
        <f>E10*(1-F10)</f>
        <v/>
      </c>
      <c r="H10" s="35">
        <f>G10*$H$1</f>
        <v/>
      </c>
      <c r="I10" s="35" t="n">
        <v>354052.6</v>
      </c>
      <c r="J10" s="35" t="n">
        <v>363767.88</v>
      </c>
      <c r="K10" s="38">
        <f>J10-I10</f>
        <v/>
      </c>
      <c r="L10" s="39">
        <f>IFERROR(K10/I10,0)</f>
        <v/>
      </c>
      <c r="M10" s="35">
        <f>J10-H10</f>
        <v/>
      </c>
      <c r="N10" s="40">
        <f>IFERROR(J10/H10,0)</f>
        <v/>
      </c>
    </row>
    <row r="11">
      <c r="A11" s="33" t="inlineStr">
        <is>
          <t>1.8</t>
        </is>
      </c>
      <c r="B11" s="34" t="inlineStr">
        <is>
          <t>GPC010 ARBOLEDA</t>
        </is>
      </c>
      <c r="C11" s="35" t="n">
        <v>310000</v>
      </c>
      <c r="D11" s="36" t="n">
        <v>263500</v>
      </c>
      <c r="E11" s="35" t="n">
        <v>290375</v>
      </c>
      <c r="F11" s="37" t="n">
        <v>0.3361</v>
      </c>
      <c r="G11" s="35">
        <f>E11*(1-F11)</f>
        <v/>
      </c>
      <c r="H11" s="35">
        <f>G11*$H$1</f>
        <v/>
      </c>
      <c r="I11" s="35" t="n">
        <v>293419.92</v>
      </c>
      <c r="J11" s="35" t="n">
        <v>293343.98</v>
      </c>
      <c r="K11" s="38">
        <f>J11-I11</f>
        <v/>
      </c>
      <c r="L11" s="39">
        <f>IFERROR(K11/I11,0)</f>
        <v/>
      </c>
      <c r="M11" s="35">
        <f>J11-H11</f>
        <v/>
      </c>
      <c r="N11" s="40">
        <f>IFERROR(J11/H11,0)</f>
        <v/>
      </c>
    </row>
    <row r="12">
      <c r="A12" s="33" t="inlineStr">
        <is>
          <t>1.9</t>
        </is>
      </c>
      <c r="B12" s="34" t="inlineStr">
        <is>
          <t>GPC011 NARANJAL</t>
        </is>
      </c>
      <c r="C12" s="35" t="n">
        <v>300000</v>
      </c>
      <c r="D12" s="36" t="n">
        <v>255000</v>
      </c>
      <c r="E12" s="35" t="n">
        <v>177929</v>
      </c>
      <c r="F12" s="37" t="n">
        <v>0.3193</v>
      </c>
      <c r="G12" s="35">
        <f>E12*(1-F12)</f>
        <v/>
      </c>
      <c r="H12" s="35">
        <f>G12*$H$1</f>
        <v/>
      </c>
      <c r="I12" s="35" t="n">
        <v>286670.39</v>
      </c>
      <c r="J12" s="35" t="n">
        <v>289688.77</v>
      </c>
      <c r="K12" s="38">
        <f>J12-I12</f>
        <v/>
      </c>
      <c r="L12" s="39">
        <f>IFERROR(K12/I12,0)</f>
        <v/>
      </c>
      <c r="M12" s="35">
        <f>J12-H12</f>
        <v/>
      </c>
      <c r="N12" s="40">
        <f>IFERROR(J12/H12,0)</f>
        <v/>
      </c>
    </row>
    <row r="13">
      <c r="A13" s="41" t="inlineStr">
        <is>
          <t>1.10</t>
        </is>
      </c>
      <c r="B13" s="34" t="inlineStr">
        <is>
          <t>GPC012 PIURA</t>
        </is>
      </c>
      <c r="C13" s="35" t="n">
        <v>430000</v>
      </c>
      <c r="D13" s="36" t="n">
        <v>365500</v>
      </c>
      <c r="E13" s="35" t="n">
        <v>316047</v>
      </c>
      <c r="F13" s="37" t="n">
        <v>0.3626</v>
      </c>
      <c r="G13" s="35">
        <f>E13*(1-F13)</f>
        <v/>
      </c>
      <c r="H13" s="35">
        <f>G13*$H$1</f>
        <v/>
      </c>
      <c r="I13" s="35" t="n">
        <v>382074.89</v>
      </c>
      <c r="J13" s="35" t="n">
        <v>373416.3</v>
      </c>
      <c r="K13" s="38">
        <f>J13-I13</f>
        <v/>
      </c>
      <c r="L13" s="39">
        <f>IFERROR(K13/I13,0)</f>
        <v/>
      </c>
      <c r="M13" s="35">
        <f>J13-H13</f>
        <v/>
      </c>
      <c r="N13" s="40">
        <f>IFERROR(J13/H13,0)</f>
        <v/>
      </c>
    </row>
    <row r="14">
      <c r="A14" s="33" t="inlineStr">
        <is>
          <t>1.11</t>
        </is>
      </c>
      <c r="B14" s="34" t="inlineStr">
        <is>
          <t>GPC013 AREQUIPA NUEVO</t>
        </is>
      </c>
      <c r="C14" s="35" t="n">
        <v>520000</v>
      </c>
      <c r="D14" s="36" t="n">
        <v>442000</v>
      </c>
      <c r="E14" s="35" t="n">
        <v>425157</v>
      </c>
      <c r="F14" s="37" t="n">
        <v>0.3233</v>
      </c>
      <c r="G14" s="35">
        <f>E14*(1-F14)</f>
        <v/>
      </c>
      <c r="H14" s="35">
        <f>G14*$H$1</f>
        <v/>
      </c>
      <c r="I14" s="35" t="n">
        <v>542400.42</v>
      </c>
      <c r="J14" s="35" t="n">
        <v>521136.47</v>
      </c>
      <c r="K14" s="38">
        <f>J14-I14</f>
        <v/>
      </c>
      <c r="L14" s="39">
        <f>IFERROR(K14/I14,0)</f>
        <v/>
      </c>
      <c r="M14" s="35">
        <f>J14-H14</f>
        <v/>
      </c>
      <c r="N14" s="40">
        <f>IFERROR(J14/H14,0)</f>
        <v/>
      </c>
    </row>
    <row r="15">
      <c r="A15" s="41" t="inlineStr">
        <is>
          <t>1.12</t>
        </is>
      </c>
      <c r="B15" s="34" t="inlineStr">
        <is>
          <t>GPC014 SURQUILLO</t>
        </is>
      </c>
      <c r="C15" s="35" t="n">
        <v>140000</v>
      </c>
      <c r="D15" s="36" t="n">
        <v>119000</v>
      </c>
      <c r="E15" s="35" t="n">
        <v>79759</v>
      </c>
      <c r="F15" s="37" t="n">
        <v>0.3875</v>
      </c>
      <c r="G15" s="35">
        <f>E15*(1-F15)</f>
        <v/>
      </c>
      <c r="H15" s="35">
        <f>G15*$H$1</f>
        <v/>
      </c>
      <c r="I15" s="35" t="n">
        <v>187073.58</v>
      </c>
      <c r="J15" s="35" t="n">
        <v>192152.37</v>
      </c>
      <c r="K15" s="38">
        <f>J15-I15</f>
        <v/>
      </c>
      <c r="L15" s="39">
        <f>IFERROR(K15/I15,0)</f>
        <v/>
      </c>
      <c r="M15" s="35">
        <f>J15-H15</f>
        <v/>
      </c>
      <c r="N15" s="40">
        <f>IFERROR(J15/H15,0)</f>
        <v/>
      </c>
    </row>
    <row r="16">
      <c r="A16" s="33" t="inlineStr">
        <is>
          <t>1.13</t>
        </is>
      </c>
      <c r="B16" s="34" t="inlineStr">
        <is>
          <t>GPC015 HUANCAYO</t>
        </is>
      </c>
      <c r="C16" s="35" t="n">
        <v>220000</v>
      </c>
      <c r="D16" s="36" t="n">
        <v>187000</v>
      </c>
      <c r="E16" s="35" t="n">
        <v>201705</v>
      </c>
      <c r="F16" s="37" t="n">
        <v>0.3394</v>
      </c>
      <c r="G16" s="35">
        <f>E16*(1-F16)</f>
        <v/>
      </c>
      <c r="H16" s="35">
        <f>G16*$H$1</f>
        <v/>
      </c>
      <c r="I16" s="35" t="n">
        <v>270475.09</v>
      </c>
      <c r="J16" s="35" t="n">
        <v>270043.36</v>
      </c>
      <c r="K16" s="38">
        <f>J16-I16</f>
        <v/>
      </c>
      <c r="L16" s="39">
        <f>IFERROR(K16/I16,0)</f>
        <v/>
      </c>
      <c r="M16" s="35">
        <f>J16-H16</f>
        <v/>
      </c>
      <c r="N16" s="40">
        <f>IFERROR(J16/H16,0)</f>
        <v/>
      </c>
    </row>
    <row r="17">
      <c r="A17" s="41" t="inlineStr">
        <is>
          <t>1.14</t>
        </is>
      </c>
      <c r="B17" s="34" t="inlineStr">
        <is>
          <t>GPC016 LURIN</t>
        </is>
      </c>
      <c r="C17" s="35" t="n">
        <v>190000</v>
      </c>
      <c r="D17" s="36" t="n">
        <v>161500</v>
      </c>
      <c r="E17" s="35" t="n">
        <v>167968</v>
      </c>
      <c r="F17" s="37" t="n">
        <v>0.3436</v>
      </c>
      <c r="G17" s="35">
        <f>E17*(1-F17)</f>
        <v/>
      </c>
      <c r="H17" s="35">
        <f>G17*$H$1</f>
        <v/>
      </c>
      <c r="I17" s="35" t="n">
        <v>199696.45</v>
      </c>
      <c r="J17" s="35" t="n">
        <v>199042.46</v>
      </c>
      <c r="K17" s="38">
        <f>J17-I17</f>
        <v/>
      </c>
      <c r="L17" s="39">
        <f>IFERROR(K17/I17,0)</f>
        <v/>
      </c>
      <c r="M17" s="35">
        <f>J17-H17</f>
        <v/>
      </c>
      <c r="N17" s="40">
        <f>IFERROR(J17/H17,0)</f>
        <v/>
      </c>
    </row>
    <row r="18">
      <c r="A18" s="33" t="inlineStr">
        <is>
          <t>1.15</t>
        </is>
      </c>
      <c r="B18" s="34" t="inlineStr">
        <is>
          <t>GPC017 ARRIOLA</t>
        </is>
      </c>
      <c r="C18" s="35" t="n">
        <v>160000</v>
      </c>
      <c r="D18" s="36" t="n">
        <v>136000</v>
      </c>
      <c r="E18" s="35" t="n">
        <v>139300</v>
      </c>
      <c r="F18" s="37" t="n">
        <v>0.3369</v>
      </c>
      <c r="G18" s="35">
        <f>E18*(1-F18)</f>
        <v/>
      </c>
      <c r="H18" s="35">
        <f>G18*$H$1</f>
        <v/>
      </c>
      <c r="I18" s="35" t="n">
        <v>129874.99</v>
      </c>
      <c r="J18" s="35" t="n">
        <v>131463.16</v>
      </c>
      <c r="K18" s="38">
        <f>J18-I18</f>
        <v/>
      </c>
      <c r="L18" s="39">
        <f>IFERROR(K18/I18,0)</f>
        <v/>
      </c>
      <c r="M18" s="35">
        <f>J18-H18</f>
        <v/>
      </c>
      <c r="N18" s="40">
        <f>IFERROR(J18/H18,0)</f>
        <v/>
      </c>
    </row>
    <row r="19">
      <c r="A19" s="41" t="inlineStr">
        <is>
          <t>1.16</t>
        </is>
      </c>
      <c r="B19" s="34" t="inlineStr">
        <is>
          <t>GPC018 VILLA EL SALVADOR</t>
        </is>
      </c>
      <c r="C19" s="35" t="n">
        <v>130000</v>
      </c>
      <c r="D19" s="36" t="n">
        <v>110500</v>
      </c>
      <c r="E19" s="35" t="n">
        <v>90363</v>
      </c>
      <c r="F19" s="37" t="n">
        <v>0.3948</v>
      </c>
      <c r="G19" s="35">
        <f>E19*(1-F19)</f>
        <v/>
      </c>
      <c r="H19" s="35">
        <f>G19*$H$1</f>
        <v/>
      </c>
      <c r="I19" s="35" t="n">
        <v>154002.32</v>
      </c>
      <c r="J19" s="35" t="n">
        <v>157999.12</v>
      </c>
      <c r="K19" s="38">
        <f>J19-I19</f>
        <v/>
      </c>
      <c r="L19" s="39">
        <f>IFERROR(K19/I19,0)</f>
        <v/>
      </c>
      <c r="M19" s="35">
        <f>J19-H19</f>
        <v/>
      </c>
      <c r="N19" s="40">
        <f>IFERROR(J19/H19,0)</f>
        <v/>
      </c>
    </row>
    <row r="20">
      <c r="A20" s="33" t="inlineStr">
        <is>
          <t>1.17</t>
        </is>
      </c>
      <c r="B20" s="34" t="inlineStr">
        <is>
          <t>GPC020 CHORRILLOS</t>
        </is>
      </c>
      <c r="C20" s="35" t="n">
        <v>130000</v>
      </c>
      <c r="D20" s="36" t="n">
        <v>110500</v>
      </c>
      <c r="E20" s="35" t="n">
        <v>88668</v>
      </c>
      <c r="F20" s="37" t="n">
        <v>0.3506</v>
      </c>
      <c r="G20" s="35">
        <f>E20*(1-F20)</f>
        <v/>
      </c>
      <c r="H20" s="35">
        <f>G20*$H$1</f>
        <v/>
      </c>
      <c r="I20" s="35" t="n">
        <v>194575.19</v>
      </c>
      <c r="J20" s="35" t="n">
        <v>196491.3</v>
      </c>
      <c r="K20" s="38">
        <f>J20-I20</f>
        <v/>
      </c>
      <c r="L20" s="39">
        <f>IFERROR(K20/I20,0)</f>
        <v/>
      </c>
      <c r="M20" s="35">
        <f>J20-H20</f>
        <v/>
      </c>
      <c r="N20" s="40">
        <f>IFERROR(J20/H20,0)</f>
        <v/>
      </c>
    </row>
    <row r="21">
      <c r="A21" s="41" t="inlineStr">
        <is>
          <t>1.18</t>
        </is>
      </c>
      <c r="B21" s="34" t="inlineStr">
        <is>
          <t>GPC021 PUENTE PIEDRA</t>
        </is>
      </c>
      <c r="C21" s="35" t="n">
        <v>130000</v>
      </c>
      <c r="D21" s="36" t="n">
        <v>110500</v>
      </c>
      <c r="E21" s="35" t="n">
        <v>107557</v>
      </c>
      <c r="F21" s="37" t="n">
        <v>0.3352</v>
      </c>
      <c r="G21" s="35">
        <f>E21*(1-F21)</f>
        <v/>
      </c>
      <c r="H21" s="35">
        <f>G21*$H$1</f>
        <v/>
      </c>
      <c r="I21" s="35" t="n">
        <v>293297.34</v>
      </c>
      <c r="J21" s="35" t="n">
        <v>307689.52</v>
      </c>
      <c r="K21" s="38">
        <f>J21-I21</f>
        <v/>
      </c>
      <c r="L21" s="39">
        <f>IFERROR(K21/I21,0)</f>
        <v/>
      </c>
      <c r="M21" s="35">
        <f>J21-H21</f>
        <v/>
      </c>
      <c r="N21" s="40">
        <f>IFERROR(J21/H21,0)</f>
        <v/>
      </c>
    </row>
    <row r="22">
      <c r="A22" s="33" t="inlineStr">
        <is>
          <t>1.19</t>
        </is>
      </c>
      <c r="B22" s="34" t="inlineStr">
        <is>
          <t>GPC022 HUACHIPA</t>
        </is>
      </c>
      <c r="C22" s="35" t="n">
        <v>180000</v>
      </c>
      <c r="D22" s="36" t="n">
        <v>153000</v>
      </c>
      <c r="E22" s="35" t="n">
        <v>127467</v>
      </c>
      <c r="F22" s="37" t="n">
        <v>0.3142</v>
      </c>
      <c r="G22" s="35">
        <f>E22*(1-F22)</f>
        <v/>
      </c>
      <c r="H22" s="35">
        <f>G22*$H$1</f>
        <v/>
      </c>
      <c r="I22" s="35" t="n">
        <v>261854.59</v>
      </c>
      <c r="J22" s="35" t="n">
        <v>256900.95</v>
      </c>
      <c r="K22" s="38">
        <f>J22-I22</f>
        <v/>
      </c>
      <c r="L22" s="39">
        <f>IFERROR(K22/I22,0)</f>
        <v/>
      </c>
      <c r="M22" s="35">
        <f>J22-H22</f>
        <v/>
      </c>
      <c r="N22" s="40">
        <f>IFERROR(J22/H22,0)</f>
        <v/>
      </c>
    </row>
    <row r="23">
      <c r="A23" s="41" t="inlineStr">
        <is>
          <t>1.20</t>
        </is>
      </c>
      <c r="B23" s="34" t="inlineStr">
        <is>
          <t>GPC023 AREQUIPA MIRAFLORES</t>
        </is>
      </c>
      <c r="C23" s="35" t="n">
        <v>100000</v>
      </c>
      <c r="D23" s="36" t="n">
        <v>85000</v>
      </c>
      <c r="E23" s="35" t="n">
        <v>33946</v>
      </c>
      <c r="F23" s="37" t="n">
        <v>0.3656</v>
      </c>
      <c r="G23" s="35">
        <f>E23*(1-F23)</f>
        <v/>
      </c>
      <c r="H23" s="35">
        <f>G23*$H$1</f>
        <v/>
      </c>
      <c r="I23" s="35" t="n">
        <v>119354.69</v>
      </c>
      <c r="J23" s="35" t="n">
        <v>116626.71</v>
      </c>
      <c r="K23" s="38">
        <f>J23-I23</f>
        <v/>
      </c>
      <c r="L23" s="39">
        <f>IFERROR(K23/I23,0)</f>
        <v/>
      </c>
      <c r="M23" s="35">
        <f>J23-H23</f>
        <v/>
      </c>
      <c r="N23" s="40">
        <f>IFERROR(J23/H23,0)</f>
        <v/>
      </c>
    </row>
    <row r="24">
      <c r="A24" s="33" t="inlineStr">
        <is>
          <t>1.21</t>
        </is>
      </c>
      <c r="B24" s="34" t="inlineStr">
        <is>
          <t>GPC024 CAJAMARCA</t>
        </is>
      </c>
      <c r="C24" s="35" t="n">
        <v>100000</v>
      </c>
      <c r="D24" s="36" t="n">
        <v>85000</v>
      </c>
      <c r="E24" s="35" t="n">
        <v>69015</v>
      </c>
      <c r="F24" s="37" t="n">
        <v>0.3767</v>
      </c>
      <c r="G24" s="35">
        <f>E24*(1-F24)</f>
        <v/>
      </c>
      <c r="H24" s="35">
        <f>G24*$H$1</f>
        <v/>
      </c>
      <c r="I24" s="35" t="n">
        <v>180372.3</v>
      </c>
      <c r="J24" s="35" t="n">
        <v>174804.92</v>
      </c>
      <c r="K24" s="38">
        <f>J24-I24</f>
        <v/>
      </c>
      <c r="L24" s="39">
        <f>IFERROR(K24/I24,0)</f>
        <v/>
      </c>
      <c r="M24" s="35">
        <f>J24-H24</f>
        <v/>
      </c>
      <c r="N24" s="40">
        <f>IFERROR(J24/H24,0)</f>
        <v/>
      </c>
    </row>
    <row r="25">
      <c r="A25" s="41" t="inlineStr">
        <is>
          <t>1.22</t>
        </is>
      </c>
      <c r="B25" s="34" t="inlineStr">
        <is>
          <t>GPC025 ICA</t>
        </is>
      </c>
      <c r="C25" s="35" t="n">
        <v>110000</v>
      </c>
      <c r="D25" s="36" t="n">
        <v>93500</v>
      </c>
      <c r="E25" s="35" t="n">
        <v>93266</v>
      </c>
      <c r="F25" s="37" t="n">
        <v>0.3899</v>
      </c>
      <c r="G25" s="35">
        <f>E25*(1-F25)</f>
        <v/>
      </c>
      <c r="H25" s="35">
        <f>G25*$H$1</f>
        <v/>
      </c>
      <c r="I25" s="35" t="n">
        <v>303236.84</v>
      </c>
      <c r="J25" s="35" t="n">
        <v>255024.24</v>
      </c>
      <c r="K25" s="38">
        <f>J25-I25</f>
        <v/>
      </c>
      <c r="L25" s="39">
        <f>IFERROR(K25/I25,0)</f>
        <v/>
      </c>
      <c r="M25" s="35">
        <f>J25-H25</f>
        <v/>
      </c>
      <c r="N25" s="40">
        <f>IFERROR(J25/H25,0)</f>
        <v/>
      </c>
    </row>
    <row r="26">
      <c r="A26" s="41" t="inlineStr">
        <is>
          <t>1.23</t>
        </is>
      </c>
      <c r="B26" s="34" t="inlineStr">
        <is>
          <t>GPC026 ABANCAY</t>
        </is>
      </c>
      <c r="C26" s="35" t="n">
        <v>90000</v>
      </c>
      <c r="D26" s="36" t="n">
        <v>76500</v>
      </c>
      <c r="E26" s="35" t="n">
        <v>36503</v>
      </c>
      <c r="F26" s="37" t="n">
        <v>0.3888</v>
      </c>
      <c r="G26" s="35">
        <f>E26*(1-F26)</f>
        <v/>
      </c>
      <c r="H26" s="35">
        <f>G26*$H$1</f>
        <v/>
      </c>
      <c r="I26" s="35" t="n">
        <v>244381.92</v>
      </c>
      <c r="J26" s="35" t="n">
        <v>239750.75</v>
      </c>
      <c r="K26" s="38">
        <f>J26-I26</f>
        <v/>
      </c>
      <c r="L26" s="39">
        <f>IFERROR(K26/I26,0)</f>
        <v/>
      </c>
      <c r="M26" s="35">
        <f>J26-H26</f>
        <v/>
      </c>
      <c r="N26" s="40">
        <f>IFERROR(J26/H26,0)</f>
        <v/>
      </c>
    </row>
    <row r="27">
      <c r="A27" s="42" t="n">
        <v>2</v>
      </c>
      <c r="B27" s="43" t="inlineStr">
        <is>
          <t>CENTRO DISTRIBUCION</t>
        </is>
      </c>
      <c r="C27" s="44" t="n"/>
      <c r="D27" s="45" t="n"/>
      <c r="E27" s="44" t="n"/>
      <c r="F27" s="46" t="n"/>
      <c r="G27" s="44" t="n"/>
      <c r="H27" s="44">
        <f>H3</f>
        <v/>
      </c>
      <c r="I27" s="44" t="n">
        <v>4508735.5</v>
      </c>
      <c r="J27" s="44" t="n">
        <v>4384169.67</v>
      </c>
      <c r="K27" s="44">
        <f>J27-I27</f>
        <v/>
      </c>
      <c r="L27" s="47">
        <f>IFERROR(K27/I27,0)</f>
        <v/>
      </c>
      <c r="M27" s="44">
        <f>J27-H27</f>
        <v/>
      </c>
      <c r="N27" s="47">
        <f>IFERROR(J27/H27,0)</f>
        <v/>
      </c>
    </row>
    <row r="28">
      <c r="A28" s="48" t="n">
        <v>3</v>
      </c>
      <c r="B28" s="49" t="inlineStr">
        <is>
          <t>TOTAL GPC</t>
        </is>
      </c>
      <c r="C28" s="50">
        <f>C3</f>
        <v/>
      </c>
      <c r="D28" s="51">
        <f>D3</f>
        <v/>
      </c>
      <c r="E28" s="50">
        <f>E3</f>
        <v/>
      </c>
      <c r="F28" s="52">
        <f>IFERROR(1-G28/E28,0)</f>
        <v/>
      </c>
      <c r="G28" s="50">
        <f>G3</f>
        <v/>
      </c>
      <c r="H28" s="50">
        <f>H3+H27</f>
        <v/>
      </c>
      <c r="I28" s="50">
        <f>I3+I27</f>
        <v/>
      </c>
      <c r="J28" s="50">
        <f>J3+J27</f>
        <v/>
      </c>
      <c r="K28" s="50">
        <f>K3+K27</f>
        <v/>
      </c>
      <c r="L28" s="53">
        <f>IFERROR(K28/I28,0)</f>
        <v/>
      </c>
      <c r="M28" s="50">
        <f>M3+M27</f>
        <v/>
      </c>
      <c r="N28" s="53">
        <f>IFERROR(J28/H28,0)</f>
        <v/>
      </c>
    </row>
    <row r="29">
      <c r="A29" s="2" t="n"/>
      <c r="B29" s="3" t="n"/>
      <c r="C29" s="4" t="n"/>
      <c r="D29" s="5" t="n"/>
      <c r="E29" s="4" t="n"/>
      <c r="F29" s="4" t="n"/>
      <c r="G29" s="4" t="n"/>
      <c r="H29" s="4" t="n"/>
      <c r="I29" s="4" t="n"/>
      <c r="J29" s="4" t="n"/>
      <c r="K29" s="19" t="n"/>
      <c r="L29" s="18" t="n"/>
      <c r="M29" s="4" t="n"/>
      <c r="N29" s="5" t="n"/>
    </row>
    <row r="30">
      <c r="A30" s="6" t="n"/>
      <c r="B30" s="7" t="n"/>
      <c r="C30" s="8" t="n"/>
      <c r="D30" s="9" t="n"/>
      <c r="E30" s="8" t="n"/>
      <c r="F30" s="8" t="n"/>
      <c r="G30" s="8" t="n"/>
      <c r="H30" s="8" t="n"/>
      <c r="I30" s="8" t="n"/>
      <c r="J30" s="8" t="n"/>
      <c r="K30" s="21" t="n"/>
      <c r="L30" s="9" t="n"/>
      <c r="M30" s="8" t="n"/>
      <c r="N30" s="9" t="n"/>
    </row>
    <row r="31">
      <c r="A31" s="10" t="n"/>
      <c r="B31" s="11" t="n"/>
      <c r="C31" s="11" t="n"/>
      <c r="D31" s="11" t="n"/>
      <c r="E31" s="11" t="n"/>
      <c r="F31" s="12" t="n"/>
      <c r="G31" s="12" t="n"/>
      <c r="H31" s="12" t="n"/>
      <c r="I31" s="12" t="n"/>
      <c r="J31" s="12" t="n"/>
      <c r="K31" s="20" t="n"/>
      <c r="L31" s="13" t="n"/>
      <c r="M31" s="12" t="n"/>
      <c r="N31" s="13" t="n"/>
    </row>
    <row r="32">
      <c r="A32" s="14" t="n"/>
      <c r="B32" s="15" t="n"/>
      <c r="C32" s="15" t="n"/>
      <c r="D32" s="15" t="n"/>
      <c r="E32" s="15" t="n"/>
      <c r="F32" s="16" t="n"/>
      <c r="G32" s="16" t="n"/>
      <c r="H32" s="16" t="n"/>
      <c r="I32" s="16" t="n"/>
      <c r="J32" s="16" t="n"/>
      <c r="K32" s="22" t="n"/>
      <c r="L32" s="17" t="n"/>
      <c r="M32" s="16" t="n"/>
      <c r="N32" s="17" t="n"/>
    </row>
  </sheetData>
  <autoFilter ref="A2:N28"/>
  <conditionalFormatting sqref="L4:M28">
    <cfRule type="cellIs" priority="4" operator="lessThan" dxfId="2">
      <formula>0</formula>
    </cfRule>
    <cfRule type="cellIs" priority="5" operator="greaterThanOrEqual" dxfId="0">
      <formula>0</formula>
    </cfRule>
  </conditionalFormatting>
  <conditionalFormatting sqref="N4:N28">
    <cfRule type="cellIs" priority="1" operator="lessThan" dxfId="2">
      <formula>0.9</formula>
    </cfRule>
    <cfRule type="cellIs" priority="2" operator="between" dxfId="1">
      <formula>0.9</formula>
      <formula>1</formula>
    </cfRule>
    <cfRule type="cellIs" priority="3" operator="greaterThanOrEqual" dxfId="0">
      <formula>1</formula>
    </cfRule>
  </conditionalFormatting>
  <conditionalFormatting sqref="N4:N32">
    <cfRule type="iconSet" priority="6">
      <iconSet iconSet="3TrafficLights1" showValue="1" percent="0" reverse="0">
        <cfvo type="num" val="0"/>
        <cfvo type="num" val="0.9"/>
        <cfvo type="num" val="1"/>
      </iconSet>
    </cfRule>
  </conditionalFormatting>
  <conditionalFormatting sqref="L4:L32">
    <cfRule type="iconSet" priority="7">
      <iconSet iconSet="3TrafficLights1" showValue="1" percent="0" reverse="0">
        <cfvo type="num" val="-999"/>
        <cfvo type="num" val="0"/>
        <cfvo type="num" val="0.02"/>
      </iconSet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A1" sqref="A1"/>
    </sheetView>
  </sheetViews>
  <sheetFormatPr baseColWidth="10" defaultColWidth="8.88671875" defaultRowHeight="14.4"/>
  <cols>
    <col width="26" customWidth="1" min="1" max="1"/>
    <col width="110" customWidth="1" min="2" max="2"/>
  </cols>
  <sheetData>
    <row r="1">
      <c r="A1" s="54" t="inlineStr">
        <is>
          <t>Fuente / Validacion</t>
        </is>
      </c>
      <c r="B1" s="54" t="inlineStr">
        <is>
          <t>Detalle</t>
        </is>
      </c>
    </row>
    <row r="2">
      <c r="A2" s="55" t="inlineStr">
        <is>
          <t>Modelo base</t>
        </is>
      </c>
      <c r="B2" s="55" t="inlineStr">
        <is>
          <t>C:\Users\Manuel Coaquera\Desktop\INVENTARIO TIENDAS\PPTO INVENTATIOS\11. PPTO INVENTARIO\12. Diciembre.xlsx | Hoja1</t>
        </is>
      </c>
    </row>
    <row r="3">
      <c r="A3" s="55" t="inlineStr">
        <is>
          <t>Stock 02/05</t>
        </is>
      </c>
      <c r="B3" s="55" t="inlineStr">
        <is>
          <t>C:\Users\Manuel Coaquera\Desktop\INVENTARIO TIENDAS\03. MAESTROS\STOCK GPC 02.05.2026.xlsx</t>
        </is>
      </c>
    </row>
    <row r="4">
      <c r="A4" s="55" t="inlineStr">
        <is>
          <t>Stock 08/05</t>
        </is>
      </c>
      <c r="B4" s="55" t="inlineStr">
        <is>
          <t>\\192.168.5.51\rms\CESAR\erp-sync\stock-snapshots\2026-05-08\stock_todas_las_tiendas_2026-05-08_1013.xlsx</t>
        </is>
      </c>
    </row>
    <row r="5">
      <c r="A5" s="55" t="inlineStr">
        <is>
          <t>Presupuesto ventas</t>
        </is>
      </c>
      <c r="B5" s="55" t="inlineStr">
        <is>
          <t>Imagen enviada: Ppto May 26 y Mix</t>
        </is>
      </c>
    </row>
    <row r="6">
      <c r="A6" s="55" t="inlineStr">
        <is>
          <t>Margen / venta acumulada</t>
        </is>
      </c>
      <c r="B6" s="55" t="inlineStr">
        <is>
          <t>Imagen enviada: Venta [S/.] y Mg Real [%]</t>
        </is>
      </c>
    </row>
    <row r="7">
      <c r="A7" s="55" t="inlineStr">
        <is>
          <t>Formula costo venta</t>
        </is>
      </c>
      <c r="B7" s="55" t="inlineStr">
        <is>
          <t>Venta acumulada * (1 - Margen %)</t>
        </is>
      </c>
    </row>
    <row r="8">
      <c r="A8" s="55" t="inlineStr">
        <is>
          <t>Formula ppto inventario</t>
        </is>
      </c>
      <c r="B8" s="55" t="inlineStr">
        <is>
          <t>Costo de venta * 36/30</t>
        </is>
      </c>
    </row>
    <row r="9">
      <c r="A9" s="55" t="inlineStr">
        <is>
          <t>Alerta GPC025/GPC026</t>
        </is>
      </c>
      <c r="B9" s="55" t="inlineStr">
        <is>
          <t>Stock 02/05: GPC025=GPC025 APU - ABANCAY, GPC026=GPC026 ICA - ICA</t>
        </is>
      </c>
    </row>
    <row r="10">
      <c r="A10" s="55" t="inlineStr">
        <is>
          <t>Alerta GPC025/GPC026</t>
        </is>
      </c>
      <c r="B10" s="55" t="inlineStr">
        <is>
          <t>Stock 08/05: GPC025=GPC025 APU - ABANCAY, GPC026=GPC026 ICA - ICA</t>
        </is>
      </c>
    </row>
    <row r="11">
      <c r="A11" s="56" t="inlineStr">
        <is>
          <t>Semaforo Cump. %</t>
        </is>
      </c>
      <c r="B11" s="56" t="inlineStr">
        <is>
          <t>Rojo &lt;90%, amarillo 90%-99.99%, verde &gt;=100% en la columna N.</t>
        </is>
      </c>
    </row>
    <row r="12">
      <c r="A12" s="56" t="inlineStr">
        <is>
          <t>Semaforo Dif [%] Inventario</t>
        </is>
      </c>
      <c r="B12" s="56" t="inlineStr">
        <is>
          <t>Rojo si baja vs 02/05, amarillo entre 0% y 2%, verde si sube &gt;=2% en la columna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Cabellos Medrano</dc:creator>
  <dcterms:created xmlns:dcterms="http://purl.org/dc/terms/" xmlns:xsi="http://www.w3.org/2001/XMLSchema-instance" xsi:type="dcterms:W3CDTF">2025-11-11T14:34:01Z</dcterms:created>
  <dcterms:modified xmlns:dcterms="http://purl.org/dc/terms/" xmlns:xsi="http://www.w3.org/2001/XMLSchema-instance" xsi:type="dcterms:W3CDTF">2026-05-08T21:34:46Z</dcterms:modified>
  <cp:lastModifiedBy>na187</cp:lastModifiedBy>
</cp:coreProperties>
</file>