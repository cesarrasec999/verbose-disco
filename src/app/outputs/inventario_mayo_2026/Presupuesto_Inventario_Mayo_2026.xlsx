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uel Coaquera\ciclicos\src\app\outputs\inventario_mayo_2026\"/>
    </mc:Choice>
  </mc:AlternateContent>
  <xr:revisionPtr revIDLastSave="0" documentId="13_ncr:1_{1CA8E3F4-4A77-4E9D-97FC-61DE3BDD2C7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oja1" sheetId="1" r:id="rId1"/>
    <sheet name="Validacion" sheetId="2" r:id="rId2"/>
  </sheets>
  <definedNames>
    <definedName name="_xlnm._FilterDatabase" localSheetId="0" hidden="1">Hoja1!$A$2:$N$28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7" i="1" l="1"/>
  <c r="L27" i="1" s="1"/>
  <c r="K26" i="1"/>
  <c r="L26" i="1" s="1"/>
  <c r="G26" i="1"/>
  <c r="K25" i="1"/>
  <c r="L25" i="1" s="1"/>
  <c r="G25" i="1"/>
  <c r="K24" i="1"/>
  <c r="L24" i="1" s="1"/>
  <c r="G24" i="1"/>
  <c r="K23" i="1"/>
  <c r="L23" i="1" s="1"/>
  <c r="G23" i="1"/>
  <c r="K22" i="1"/>
  <c r="L22" i="1" s="1"/>
  <c r="G22" i="1"/>
  <c r="K21" i="1"/>
  <c r="L21" i="1" s="1"/>
  <c r="G21" i="1"/>
  <c r="K20" i="1"/>
  <c r="L20" i="1" s="1"/>
  <c r="G20" i="1"/>
  <c r="K19" i="1"/>
  <c r="L19" i="1" s="1"/>
  <c r="G19" i="1"/>
  <c r="K18" i="1"/>
  <c r="L18" i="1" s="1"/>
  <c r="G18" i="1"/>
  <c r="K17" i="1"/>
  <c r="L17" i="1" s="1"/>
  <c r="G17" i="1"/>
  <c r="K16" i="1"/>
  <c r="L16" i="1" s="1"/>
  <c r="G16" i="1"/>
  <c r="K15" i="1"/>
  <c r="L15" i="1" s="1"/>
  <c r="G15" i="1"/>
  <c r="K14" i="1"/>
  <c r="L14" i="1" s="1"/>
  <c r="G14" i="1"/>
  <c r="K13" i="1"/>
  <c r="L13" i="1" s="1"/>
  <c r="G13" i="1"/>
  <c r="K12" i="1"/>
  <c r="L12" i="1" s="1"/>
  <c r="G12" i="1"/>
  <c r="K11" i="1"/>
  <c r="L11" i="1" s="1"/>
  <c r="G11" i="1"/>
  <c r="K10" i="1"/>
  <c r="L10" i="1" s="1"/>
  <c r="G10" i="1"/>
  <c r="K9" i="1"/>
  <c r="L9" i="1" s="1"/>
  <c r="G9" i="1"/>
  <c r="K8" i="1"/>
  <c r="L8" i="1" s="1"/>
  <c r="G8" i="1"/>
  <c r="K7" i="1"/>
  <c r="L7" i="1" s="1"/>
  <c r="G7" i="1"/>
  <c r="K6" i="1"/>
  <c r="L6" i="1" s="1"/>
  <c r="G6" i="1"/>
  <c r="K5" i="1"/>
  <c r="L5" i="1" s="1"/>
  <c r="G5" i="1"/>
  <c r="K4" i="1"/>
  <c r="L4" i="1" s="1"/>
  <c r="G4" i="1"/>
  <c r="J3" i="1"/>
  <c r="I3" i="1"/>
  <c r="I28" i="1" s="1"/>
  <c r="G3" i="1"/>
  <c r="E3" i="1"/>
  <c r="E28" i="1" s="1"/>
  <c r="D3" i="1"/>
  <c r="D28" i="1" s="1"/>
  <c r="C3" i="1"/>
  <c r="C28" i="1" s="1"/>
  <c r="H1" i="1"/>
  <c r="H26" i="1" l="1"/>
  <c r="H4" i="1"/>
  <c r="H24" i="1"/>
  <c r="H23" i="1"/>
  <c r="H16" i="1"/>
  <c r="H14" i="1"/>
  <c r="H10" i="1"/>
  <c r="H7" i="1"/>
  <c r="H22" i="1"/>
  <c r="H21" i="1"/>
  <c r="H17" i="1"/>
  <c r="H15" i="1"/>
  <c r="H11" i="1"/>
  <c r="H20" i="1"/>
  <c r="H19" i="1"/>
  <c r="H12" i="1"/>
  <c r="H9" i="1"/>
  <c r="H5" i="1"/>
  <c r="H13" i="1"/>
  <c r="H8" i="1"/>
  <c r="H6" i="1"/>
  <c r="M26" i="1"/>
  <c r="N26" i="1"/>
  <c r="M24" i="1"/>
  <c r="N24" i="1"/>
  <c r="N23" i="1"/>
  <c r="M23" i="1"/>
  <c r="M22" i="1"/>
  <c r="N22" i="1"/>
  <c r="M21" i="1"/>
  <c r="N21" i="1"/>
  <c r="M20" i="1"/>
  <c r="N20" i="1"/>
  <c r="M19" i="1"/>
  <c r="N19" i="1"/>
  <c r="M17" i="1"/>
  <c r="N17" i="1"/>
  <c r="M16" i="1"/>
  <c r="N16" i="1"/>
  <c r="M15" i="1"/>
  <c r="N15" i="1"/>
  <c r="M14" i="1"/>
  <c r="N14" i="1"/>
  <c r="M13" i="1"/>
  <c r="N13" i="1"/>
  <c r="M12" i="1"/>
  <c r="N12" i="1"/>
  <c r="N11" i="1"/>
  <c r="M11" i="1"/>
  <c r="N10" i="1"/>
  <c r="M10" i="1"/>
  <c r="N9" i="1"/>
  <c r="M9" i="1"/>
  <c r="J28" i="1"/>
  <c r="K3" i="1"/>
  <c r="G28" i="1"/>
  <c r="F28" i="1" s="1"/>
  <c r="F3" i="1"/>
  <c r="H25" i="1"/>
  <c r="H18" i="1"/>
  <c r="H3" i="1" s="1"/>
  <c r="M4" i="1" l="1"/>
  <c r="N4" i="1"/>
  <c r="N7" i="1"/>
  <c r="M7" i="1"/>
  <c r="N5" i="1"/>
  <c r="M5" i="1"/>
  <c r="N8" i="1"/>
  <c r="M8" i="1"/>
  <c r="M6" i="1"/>
  <c r="N6" i="1"/>
  <c r="H27" i="1"/>
  <c r="H28" i="1"/>
  <c r="N28" i="1" s="1"/>
  <c r="L3" i="1"/>
  <c r="K28" i="1"/>
  <c r="L28" i="1" s="1"/>
  <c r="M25" i="1"/>
  <c r="N25" i="1"/>
  <c r="M18" i="1"/>
  <c r="N18" i="1"/>
  <c r="M3" i="1"/>
  <c r="N3" i="1"/>
  <c r="M27" i="1" l="1"/>
  <c r="M28" i="1" s="1"/>
  <c r="N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B2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Validar cruce: en stock 02/05 aparece GPC025 como GPC025 APU - ABANCAY y en stock 08/05 como GPC025 APU - ABANCAY. Se conserva el nombre del presupuesto/margen enviado.</t>
        </r>
      </text>
    </comment>
    <comment ref="B2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Validar cruce: en stock 02/05 aparece GPC026 como GPC026 ICA - ICA y en stock 08/05 como GPC026 ICA - ICA. Se conserva el nombre del presupuesto/margen enviado.</t>
        </r>
      </text>
    </comment>
  </commentList>
</comments>
</file>

<file path=xl/sharedStrings.xml><?xml version="1.0" encoding="utf-8"?>
<sst xmlns="http://schemas.openxmlformats.org/spreadsheetml/2006/main" count="85" uniqueCount="84">
  <si>
    <t>Fuente / Validacion</t>
  </si>
  <si>
    <t>Detalle</t>
  </si>
  <si>
    <t>Modelo base</t>
  </si>
  <si>
    <t>C:\Users\Manuel Coaquera\Desktop\INVENTARIO TIENDAS\PPTO INVENTATIOS\11. PPTO INVENTARIO\12. Diciembre.xlsx | Hoja1</t>
  </si>
  <si>
    <t>Stock 02/05</t>
  </si>
  <si>
    <t>C:\Users\Manuel Coaquera\Desktop\INVENTARIO TIENDAS\03. MAESTROS\STOCK GPC 02.05.2026.xlsx</t>
  </si>
  <si>
    <t>Stock 08/05</t>
  </si>
  <si>
    <t>\\192.168.5.51\rms\CESAR\erp-sync\stock-snapshots\2026-05-08\stock_todas_las_tiendas_2026-05-08_1013.xlsx</t>
  </si>
  <si>
    <t>Presupuesto ventas</t>
  </si>
  <si>
    <t>Imagen enviada: Ppto May 26 y Mix</t>
  </si>
  <si>
    <t>Margen / venta acumulada</t>
  </si>
  <si>
    <t>Imagen enviada: Venta [S/.] y Mg Real [%]</t>
  </si>
  <si>
    <t>Formula costo venta</t>
  </si>
  <si>
    <t>Venta acumulada * (1 - Margen %)</t>
  </si>
  <si>
    <t>Formula ppto inventario</t>
  </si>
  <si>
    <t>Costo de venta * 36/30</t>
  </si>
  <si>
    <t>Alerta GPC025/GPC026</t>
  </si>
  <si>
    <t>Stock 02/05: GPC025=GPC025 APU - ABANCAY, GPC026=GPC026 ICA - ICA</t>
  </si>
  <si>
    <t>Stock 08/05: GPC025=GPC025 APU - ABANCAY, GPC026=GPC026 ICA - ICA</t>
  </si>
  <si>
    <t>Presupuesto de Inventario Mayo 2026</t>
  </si>
  <si>
    <t>Factor</t>
  </si>
  <si>
    <t>Nro.</t>
  </si>
  <si>
    <t>TIENDA</t>
  </si>
  <si>
    <t>Ppto May 26</t>
  </si>
  <si>
    <t>Mix</t>
  </si>
  <si>
    <t>Venta acumulada</t>
  </si>
  <si>
    <t>Margen %</t>
  </si>
  <si>
    <t>Costo de venta</t>
  </si>
  <si>
    <t>Ppto
Inventario</t>
  </si>
  <si>
    <t>02/05/2026
VALORIZADO INVENTARIO</t>
  </si>
  <si>
    <t>08/05/2026
VALORIZADO INVENTARIO</t>
  </si>
  <si>
    <t>Dif [S/]
Inventario</t>
  </si>
  <si>
    <t>Dif [%]
Inventario</t>
  </si>
  <si>
    <t>Dif [S/]
Resp ppto</t>
  </si>
  <si>
    <t>Cump. %</t>
  </si>
  <si>
    <t>CANAL RETAIL</t>
  </si>
  <si>
    <t>1.1</t>
  </si>
  <si>
    <t>GPC001 PERLA</t>
  </si>
  <si>
    <t>1.2</t>
  </si>
  <si>
    <t>GPC002 SUMINISTRO</t>
  </si>
  <si>
    <t>1.3</t>
  </si>
  <si>
    <t>GPC003 GRUPO</t>
  </si>
  <si>
    <t>1.4</t>
  </si>
  <si>
    <t>GPC006 CALLAO</t>
  </si>
  <si>
    <t>1.5</t>
  </si>
  <si>
    <t>GPC007 TRUJILLO</t>
  </si>
  <si>
    <t>1.6</t>
  </si>
  <si>
    <t>GPC008 CH. DIAMANTE</t>
  </si>
  <si>
    <t>1.7</t>
  </si>
  <si>
    <t>GPC009 CH. LEGUIA</t>
  </si>
  <si>
    <t>1.8</t>
  </si>
  <si>
    <t>GPC010 ARBOLEDA</t>
  </si>
  <si>
    <t>1.9</t>
  </si>
  <si>
    <t>GPC011 NARANJAL</t>
  </si>
  <si>
    <t>1.10</t>
  </si>
  <si>
    <t>GPC012 PIURA</t>
  </si>
  <si>
    <t>1.11</t>
  </si>
  <si>
    <t>GPC013 AREQUIPA NUEVO</t>
  </si>
  <si>
    <t>1.12</t>
  </si>
  <si>
    <t>GPC014 SURQUILLO</t>
  </si>
  <si>
    <t>1.13</t>
  </si>
  <si>
    <t>GPC015 HUANCAYO</t>
  </si>
  <si>
    <t>1.14</t>
  </si>
  <si>
    <t>GPC016 LURIN</t>
  </si>
  <si>
    <t>1.15</t>
  </si>
  <si>
    <t>GPC017 ARRIOLA</t>
  </si>
  <si>
    <t>1.16</t>
  </si>
  <si>
    <t>GPC018 VILLA EL SALVADOR</t>
  </si>
  <si>
    <t>1.17</t>
  </si>
  <si>
    <t>GPC020 CHORRILLOS</t>
  </si>
  <si>
    <t>1.18</t>
  </si>
  <si>
    <t>GPC021 PUENTE PIEDRA</t>
  </si>
  <si>
    <t>1.19</t>
  </si>
  <si>
    <t>GPC022 HUACHIPA</t>
  </si>
  <si>
    <t>1.20</t>
  </si>
  <si>
    <t>GPC023 AREQUIPA MIRAFLORES</t>
  </si>
  <si>
    <t>1.21</t>
  </si>
  <si>
    <t>GPC024 CAJAMARCA</t>
  </si>
  <si>
    <t>1.22</t>
  </si>
  <si>
    <t>GPC025 ICA</t>
  </si>
  <si>
    <t>1.23</t>
  </si>
  <si>
    <t>GPC026 ABANCAY</t>
  </si>
  <si>
    <t>CENTRO DISTRIBUCION</t>
  </si>
  <si>
    <t>TOTAL GPC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</si>
</sst>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1F4E78"/>
      <name val="Calibri"/>
    </font>
    <font>
      <b/>
      <sz val="11"/>
      <name val="Calibri"/>
    </font>
    <font>
      <b/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EAF7"/>
      </patternFill>
    </fill>
    <fill>
      <patternFill patternType="solid">
        <fgColor rgb="FFFFF200"/>
      </patternFill>
    </fill>
    <fill>
      <patternFill patternType="solid">
        <fgColor rgb="FFE7E6E6"/>
      </patternFill>
    </fill>
    <fill>
      <patternFill patternType="solid">
        <fgColor rgb="FFBFBFBF"/>
      </patternFill>
    </fill>
    <fill>
      <patternFill patternType="solid">
        <fgColor rgb="FF1F4E78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9" fontId="1" fillId="0" borderId="0"/>
  </cellStyleXfs>
  <cellXfs count="56">
    <xf numFmtId="0" fontId="0" fillId="0" borderId="0" xfId="0"/>
    <xf numFmtId="2" fontId="0" fillId="0" borderId="0" xfId="0" applyNumberFormat="1"/>
    <xf numFmtId="0" fontId="0" fillId="0" borderId="2" xfId="0" applyBorder="1" applyAlignment="1">
      <alignment horizontal="center"/>
    </xf>
    <xf numFmtId="0" fontId="0" fillId="0" borderId="2" xfId="0" applyBorder="1"/>
    <xf numFmtId="3" fontId="0" fillId="0" borderId="2" xfId="0" applyNumberFormat="1" applyBorder="1"/>
    <xf numFmtId="10" fontId="0" fillId="0" borderId="2" xfId="1" applyNumberFormat="1" applyFont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3" fontId="2" fillId="2" borderId="1" xfId="0" applyNumberFormat="1" applyFont="1" applyFill="1" applyBorder="1"/>
    <xf numFmtId="10" fontId="2" fillId="2" borderId="1" xfId="1" applyNumberFormat="1" applyFont="1" applyFill="1" applyBorder="1"/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/>
    <xf numFmtId="3" fontId="2" fillId="2" borderId="2" xfId="0" applyNumberFormat="1" applyFont="1" applyFill="1" applyBorder="1"/>
    <xf numFmtId="10" fontId="2" fillId="2" borderId="2" xfId="1" applyNumberFormat="1" applyFont="1" applyFill="1" applyBorder="1"/>
    <xf numFmtId="0" fontId="2" fillId="2" borderId="3" xfId="0" applyFont="1" applyFill="1" applyBorder="1" applyAlignment="1">
      <alignment horizontal="center"/>
    </xf>
    <xf numFmtId="0" fontId="2" fillId="2" borderId="3" xfId="0" applyFont="1" applyFill="1" applyBorder="1"/>
    <xf numFmtId="3" fontId="2" fillId="2" borderId="3" xfId="0" applyNumberFormat="1" applyFont="1" applyFill="1" applyBorder="1"/>
    <xf numFmtId="10" fontId="2" fillId="2" borderId="3" xfId="1" applyNumberFormat="1" applyFont="1" applyFill="1" applyBorder="1"/>
    <xf numFmtId="10" fontId="1" fillId="0" borderId="2" xfId="1" applyNumberFormat="1" applyBorder="1"/>
    <xf numFmtId="3" fontId="2" fillId="3" borderId="2" xfId="0" applyNumberFormat="1" applyFont="1" applyFill="1" applyBorder="1" applyAlignment="1">
      <alignment horizontal="right" vertical="center"/>
    </xf>
    <xf numFmtId="3" fontId="2" fillId="2" borderId="2" xfId="0" applyNumberFormat="1" applyFont="1" applyFill="1" applyBorder="1" applyAlignment="1">
      <alignment horizontal="right" vertical="center"/>
    </xf>
    <xf numFmtId="3" fontId="2" fillId="2" borderId="1" xfId="0" applyNumberFormat="1" applyFont="1" applyFill="1" applyBorder="1" applyAlignment="1">
      <alignment horizontal="right" vertical="center"/>
    </xf>
    <xf numFmtId="3" fontId="2" fillId="2" borderId="3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4" borderId="4" xfId="0" applyFont="1" applyFill="1" applyBorder="1" applyAlignment="1">
      <alignment horizontal="center" vertical="center" wrapText="1"/>
    </xf>
    <xf numFmtId="16" fontId="4" fillId="4" borderId="4" xfId="0" applyNumberFormat="1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/>
    </xf>
    <xf numFmtId="0" fontId="4" fillId="5" borderId="5" xfId="0" applyFont="1" applyFill="1" applyBorder="1" applyAlignment="1">
      <alignment vertical="center"/>
    </xf>
    <xf numFmtId="3" fontId="4" fillId="5" borderId="5" xfId="0" applyNumberFormat="1" applyFont="1" applyFill="1" applyBorder="1" applyAlignment="1">
      <alignment horizontal="right"/>
    </xf>
    <xf numFmtId="3" fontId="4" fillId="5" borderId="5" xfId="1" applyNumberFormat="1" applyFont="1" applyFill="1" applyBorder="1" applyAlignment="1">
      <alignment horizontal="right"/>
    </xf>
    <xf numFmtId="10" fontId="4" fillId="5" borderId="5" xfId="0" applyNumberFormat="1" applyFont="1" applyFill="1" applyBorder="1" applyAlignment="1">
      <alignment horizontal="right"/>
    </xf>
    <xf numFmtId="10" fontId="4" fillId="5" borderId="5" xfId="1" applyNumberFormat="1" applyFont="1" applyFill="1" applyBorder="1" applyAlignment="1">
      <alignment horizontal="right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vertical="center"/>
    </xf>
    <xf numFmtId="3" fontId="0" fillId="0" borderId="5" xfId="0" applyNumberFormat="1" applyBorder="1" applyAlignment="1">
      <alignment horizontal="right"/>
    </xf>
    <xf numFmtId="3" fontId="0" fillId="0" borderId="5" xfId="1" applyNumberFormat="1" applyFont="1" applyBorder="1" applyAlignment="1">
      <alignment horizontal="right"/>
    </xf>
    <xf numFmtId="10" fontId="0" fillId="0" borderId="5" xfId="0" applyNumberFormat="1" applyBorder="1" applyAlignment="1">
      <alignment horizontal="right"/>
    </xf>
    <xf numFmtId="3" fontId="2" fillId="0" borderId="5" xfId="0" applyNumberFormat="1" applyFont="1" applyBorder="1" applyAlignment="1">
      <alignment horizontal="right"/>
    </xf>
    <xf numFmtId="10" fontId="1" fillId="0" borderId="5" xfId="1" applyNumberFormat="1" applyBorder="1" applyAlignment="1">
      <alignment horizontal="right"/>
    </xf>
    <xf numFmtId="10" fontId="0" fillId="0" borderId="5" xfId="1" applyNumberFormat="1" applyFont="1" applyBorder="1" applyAlignment="1">
      <alignment horizontal="right"/>
    </xf>
    <xf numFmtId="2" fontId="0" fillId="0" borderId="5" xfId="0" applyNumberFormat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6" borderId="5" xfId="0" applyFont="1" applyFill="1" applyBorder="1" applyAlignment="1">
      <alignment vertical="center"/>
    </xf>
    <xf numFmtId="3" fontId="4" fillId="6" borderId="5" xfId="0" applyNumberFormat="1" applyFont="1" applyFill="1" applyBorder="1" applyAlignment="1">
      <alignment horizontal="right"/>
    </xf>
    <xf numFmtId="3" fontId="4" fillId="6" borderId="5" xfId="1" applyNumberFormat="1" applyFont="1" applyFill="1" applyBorder="1" applyAlignment="1">
      <alignment horizontal="right"/>
    </xf>
    <xf numFmtId="10" fontId="4" fillId="6" borderId="5" xfId="0" applyNumberFormat="1" applyFont="1" applyFill="1" applyBorder="1" applyAlignment="1">
      <alignment horizontal="right"/>
    </xf>
    <xf numFmtId="10" fontId="4" fillId="6" borderId="5" xfId="1" applyNumberFormat="1" applyFont="1" applyFill="1" applyBorder="1" applyAlignment="1">
      <alignment horizontal="right"/>
    </xf>
    <xf numFmtId="0" fontId="4" fillId="7" borderId="5" xfId="0" applyFont="1" applyFill="1" applyBorder="1" applyAlignment="1">
      <alignment horizontal="center"/>
    </xf>
    <xf numFmtId="0" fontId="4" fillId="7" borderId="5" xfId="0" applyFont="1" applyFill="1" applyBorder="1" applyAlignment="1">
      <alignment vertical="center"/>
    </xf>
    <xf numFmtId="3" fontId="4" fillId="7" borderId="5" xfId="0" applyNumberFormat="1" applyFont="1" applyFill="1" applyBorder="1" applyAlignment="1">
      <alignment horizontal="right"/>
    </xf>
    <xf numFmtId="3" fontId="4" fillId="7" borderId="5" xfId="1" applyNumberFormat="1" applyFont="1" applyFill="1" applyBorder="1" applyAlignment="1">
      <alignment horizontal="right"/>
    </xf>
    <xf numFmtId="10" fontId="4" fillId="7" borderId="5" xfId="0" applyNumberFormat="1" applyFont="1" applyFill="1" applyBorder="1" applyAlignment="1">
      <alignment horizontal="right"/>
    </xf>
    <xf numFmtId="10" fontId="4" fillId="7" borderId="5" xfId="1" applyNumberFormat="1" applyFont="1" applyFill="1" applyBorder="1" applyAlignment="1">
      <alignment horizontal="right"/>
    </xf>
    <xf numFmtId="0" fontId="5" fillId="8" borderId="5" xfId="0" applyFont="1" applyFill="1" applyBorder="1" applyAlignment="1">
      <alignment vertical="top" wrapText="1"/>
    </xf>
    <xf numFmtId="0" fontId="0" fillId="0" borderId="5" xfId="0" applyBorder="1" applyAlignment="1">
      <alignment vertical="top" wrapText="1"/>
    </xf>
  </cellXfs>
  <cellStyles count="2">
    <cellStyle name="Normal" xfId="0" builtinId="0"/>
    <cellStyle name="Porcentaje" xfId="1" builtinId="5"/>
  </cellStyles>
  <dxfs count="5"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showGridLines="0" tabSelected="1" topLeftCell="A2" workbookViewId="0">
      <pane xSplit="2" ySplit="3" topLeftCell="C4" activePane="bottomRight" state="frozen"/>
      <selection pane="topRight"/>
      <selection pane="bottomLeft"/>
      <selection pane="bottomRight"/>
    </sheetView>
  </sheetViews>
  <sheetFormatPr baseColWidth="10" defaultRowHeight="14.4" x14ac:dyDescent="0.3"/>
  <cols>
    <col min="1" max="1" width="8" customWidth="1"/>
    <col min="2" max="2" width="32" customWidth="1"/>
    <col min="3" max="3" width="14" customWidth="1"/>
    <col min="4" max="4" width="12" customWidth="1"/>
    <col min="5" max="5" width="16" customWidth="1"/>
    <col min="6" max="6" width="12" customWidth="1"/>
    <col min="7" max="8" width="15" customWidth="1"/>
    <col min="9" max="10" width="18" customWidth="1"/>
    <col min="11" max="11" width="15" customWidth="1"/>
    <col min="12" max="12" width="13" customWidth="1"/>
    <col min="13" max="13" width="15" customWidth="1"/>
    <col min="14" max="14" width="12" customWidth="1"/>
  </cols>
  <sheetData>
    <row r="1" spans="1:14" ht="24" customHeight="1" x14ac:dyDescent="0.35">
      <c r="A1" s="23" t="s">
        <v>19</v>
      </c>
      <c r="F1" s="1"/>
      <c r="G1" s="24" t="s">
        <v>20</v>
      </c>
      <c r="H1" s="1">
        <f>36/30</f>
        <v>1.2</v>
      </c>
    </row>
    <row r="2" spans="1:14" ht="42" customHeight="1" x14ac:dyDescent="0.3">
      <c r="A2" s="25" t="s">
        <v>21</v>
      </c>
      <c r="B2" s="25" t="s">
        <v>22</v>
      </c>
      <c r="C2" s="25" t="s">
        <v>23</v>
      </c>
      <c r="D2" s="25" t="s">
        <v>24</v>
      </c>
      <c r="E2" s="25" t="s">
        <v>25</v>
      </c>
      <c r="F2" s="25" t="s">
        <v>26</v>
      </c>
      <c r="G2" s="26" t="s">
        <v>27</v>
      </c>
      <c r="H2" s="26" t="s">
        <v>28</v>
      </c>
      <c r="I2" s="26" t="s">
        <v>29</v>
      </c>
      <c r="J2" s="26" t="s">
        <v>30</v>
      </c>
      <c r="K2" s="26" t="s">
        <v>31</v>
      </c>
      <c r="L2" s="26" t="s">
        <v>32</v>
      </c>
      <c r="M2" s="26" t="s">
        <v>33</v>
      </c>
      <c r="N2" s="25" t="s">
        <v>34</v>
      </c>
    </row>
    <row r="3" spans="1:14" x14ac:dyDescent="0.3">
      <c r="A3" s="27">
        <v>1</v>
      </c>
      <c r="B3" s="28" t="s">
        <v>35</v>
      </c>
      <c r="C3" s="29">
        <f>SUM(C4:C26)</f>
        <v>6400000</v>
      </c>
      <c r="D3" s="30">
        <f>SUM(D4:D26)</f>
        <v>5440000</v>
      </c>
      <c r="E3" s="29">
        <f>SUM(E4:E26)</f>
        <v>5111043</v>
      </c>
      <c r="F3" s="31">
        <f>IFERROR(1-G3/E3,0)</f>
        <v>0.33080931081972886</v>
      </c>
      <c r="G3" s="29">
        <f>SUM(G4:G26)</f>
        <v>3420262.3876000005</v>
      </c>
      <c r="H3" s="29">
        <f>SUM(H4:H26)</f>
        <v>4104314.8651200007</v>
      </c>
      <c r="I3" s="29">
        <f>SUM(I4:I26)</f>
        <v>6811039.2800000012</v>
      </c>
      <c r="J3" s="29">
        <f>SUM(J4:J26)</f>
        <v>6735858.5899999999</v>
      </c>
      <c r="K3" s="29">
        <f t="shared" ref="K3:K27" si="0">J3-I3</f>
        <v>-75180.690000001341</v>
      </c>
      <c r="L3" s="32">
        <f t="shared" ref="L3:L28" si="1">IFERROR(K3/I3,0)</f>
        <v>-1.1038064370112005E-2</v>
      </c>
      <c r="M3" s="29">
        <f t="shared" ref="M3:M27" si="2">J3-H3</f>
        <v>2631543.7248799992</v>
      </c>
      <c r="N3" s="32">
        <f t="shared" ref="N3:N28" si="3">IFERROR(J3/H3,0)</f>
        <v>1.6411651667477658</v>
      </c>
    </row>
    <row r="4" spans="1:14" x14ac:dyDescent="0.3">
      <c r="A4" s="33" t="s">
        <v>36</v>
      </c>
      <c r="B4" s="34" t="s">
        <v>37</v>
      </c>
      <c r="C4" s="35">
        <v>1000000</v>
      </c>
      <c r="D4" s="36">
        <v>850000</v>
      </c>
      <c r="E4" s="35">
        <v>921413</v>
      </c>
      <c r="F4" s="37">
        <v>0.30430000000000001</v>
      </c>
      <c r="G4" s="35">
        <f t="shared" ref="G4:G26" si="4">E4*(1-F4)</f>
        <v>641027.02410000004</v>
      </c>
      <c r="H4" s="35">
        <f t="shared" ref="H4:H26" si="5">G4*$H$1</f>
        <v>769232.42891999998</v>
      </c>
      <c r="I4" s="35">
        <v>584633.46</v>
      </c>
      <c r="J4" s="35">
        <v>553471.29</v>
      </c>
      <c r="K4" s="38">
        <f t="shared" si="0"/>
        <v>-31162.169999999925</v>
      </c>
      <c r="L4" s="39">
        <f t="shared" si="1"/>
        <v>-5.3302063826452778E-2</v>
      </c>
      <c r="M4" s="35">
        <f t="shared" si="2"/>
        <v>-215761.13891999994</v>
      </c>
      <c r="N4" s="40">
        <f t="shared" si="3"/>
        <v>0.71951112458567568</v>
      </c>
    </row>
    <row r="5" spans="1:14" x14ac:dyDescent="0.3">
      <c r="A5" s="33" t="s">
        <v>38</v>
      </c>
      <c r="B5" s="34" t="s">
        <v>39</v>
      </c>
      <c r="C5" s="35">
        <v>320000</v>
      </c>
      <c r="D5" s="36">
        <v>272000</v>
      </c>
      <c r="E5" s="35">
        <v>258896</v>
      </c>
      <c r="F5" s="37">
        <v>0.34920000000000001</v>
      </c>
      <c r="G5" s="35">
        <f t="shared" si="4"/>
        <v>168489.51680000001</v>
      </c>
      <c r="H5" s="35">
        <f t="shared" si="5"/>
        <v>202187.42016000001</v>
      </c>
      <c r="I5" s="35">
        <v>360423.04</v>
      </c>
      <c r="J5" s="35">
        <v>352103.53</v>
      </c>
      <c r="K5" s="38">
        <f t="shared" si="0"/>
        <v>-8319.5099999999511</v>
      </c>
      <c r="L5" s="39">
        <f t="shared" si="1"/>
        <v>-2.3082625350476903E-2</v>
      </c>
      <c r="M5" s="35">
        <f t="shared" si="2"/>
        <v>149916.10984000002</v>
      </c>
      <c r="N5" s="40">
        <f t="shared" si="3"/>
        <v>1.7414710060663747</v>
      </c>
    </row>
    <row r="6" spans="1:14" x14ac:dyDescent="0.3">
      <c r="A6" s="33" t="s">
        <v>40</v>
      </c>
      <c r="B6" s="34" t="s">
        <v>41</v>
      </c>
      <c r="C6" s="35">
        <v>520000</v>
      </c>
      <c r="D6" s="36">
        <v>442000</v>
      </c>
      <c r="E6" s="35">
        <v>447428</v>
      </c>
      <c r="F6" s="37">
        <v>0.30109999999999998</v>
      </c>
      <c r="G6" s="35">
        <f t="shared" si="4"/>
        <v>312707.42920000001</v>
      </c>
      <c r="H6" s="35">
        <f t="shared" si="5"/>
        <v>375248.91503999999</v>
      </c>
      <c r="I6" s="35">
        <v>399034.54</v>
      </c>
      <c r="J6" s="35">
        <v>396157.99</v>
      </c>
      <c r="K6" s="38">
        <f t="shared" si="0"/>
        <v>-2876.5499999999884</v>
      </c>
      <c r="L6" s="39">
        <f t="shared" si="1"/>
        <v>-7.2087744584716611E-3</v>
      </c>
      <c r="M6" s="35">
        <f t="shared" si="2"/>
        <v>20909.074959999998</v>
      </c>
      <c r="N6" s="40">
        <f t="shared" si="3"/>
        <v>1.0557205474072355</v>
      </c>
    </row>
    <row r="7" spans="1:14" x14ac:dyDescent="0.3">
      <c r="A7" s="33" t="s">
        <v>42</v>
      </c>
      <c r="B7" s="34" t="s">
        <v>43</v>
      </c>
      <c r="C7" s="35">
        <v>230000</v>
      </c>
      <c r="D7" s="36">
        <v>195500</v>
      </c>
      <c r="E7" s="35">
        <v>166038</v>
      </c>
      <c r="F7" s="37">
        <v>0.32400000000000001</v>
      </c>
      <c r="G7" s="35">
        <f t="shared" si="4"/>
        <v>112241.68799999999</v>
      </c>
      <c r="H7" s="35">
        <f t="shared" si="5"/>
        <v>134690.02559999999</v>
      </c>
      <c r="I7" s="35">
        <v>247623.72</v>
      </c>
      <c r="J7" s="35">
        <v>261417.63</v>
      </c>
      <c r="K7" s="38">
        <f t="shared" si="0"/>
        <v>13793.910000000003</v>
      </c>
      <c r="L7" s="39">
        <f t="shared" si="1"/>
        <v>5.570512388716236E-2</v>
      </c>
      <c r="M7" s="35">
        <f t="shared" si="2"/>
        <v>126727.60440000001</v>
      </c>
      <c r="N7" s="40">
        <f t="shared" si="3"/>
        <v>1.9408833641204684</v>
      </c>
    </row>
    <row r="8" spans="1:14" x14ac:dyDescent="0.3">
      <c r="A8" s="33" t="s">
        <v>44</v>
      </c>
      <c r="B8" s="34" t="s">
        <v>45</v>
      </c>
      <c r="C8" s="35">
        <v>520000</v>
      </c>
      <c r="D8" s="36">
        <v>442000</v>
      </c>
      <c r="E8" s="35">
        <v>418816</v>
      </c>
      <c r="F8" s="37">
        <v>0.34889999999999999</v>
      </c>
      <c r="G8" s="35">
        <f t="shared" si="4"/>
        <v>272691.09759999998</v>
      </c>
      <c r="H8" s="35">
        <f t="shared" si="5"/>
        <v>327229.31711999996</v>
      </c>
      <c r="I8" s="35">
        <v>453263.56</v>
      </c>
      <c r="J8" s="35">
        <v>460495.42</v>
      </c>
      <c r="K8" s="38">
        <f t="shared" si="0"/>
        <v>7231.859999999986</v>
      </c>
      <c r="L8" s="39">
        <f t="shared" si="1"/>
        <v>1.595508802869568E-2</v>
      </c>
      <c r="M8" s="35">
        <f t="shared" si="2"/>
        <v>133266.10288000002</v>
      </c>
      <c r="N8" s="40">
        <f t="shared" si="3"/>
        <v>1.4072560003269186</v>
      </c>
    </row>
    <row r="9" spans="1:14" x14ac:dyDescent="0.3">
      <c r="A9" s="33" t="s">
        <v>46</v>
      </c>
      <c r="B9" s="34" t="s">
        <v>47</v>
      </c>
      <c r="C9" s="35">
        <v>320000</v>
      </c>
      <c r="D9" s="36">
        <v>272000</v>
      </c>
      <c r="E9" s="35">
        <v>279568</v>
      </c>
      <c r="F9" s="37">
        <v>0.32100000000000001</v>
      </c>
      <c r="G9" s="35">
        <f t="shared" si="4"/>
        <v>189826.67200000002</v>
      </c>
      <c r="H9" s="35">
        <f t="shared" si="5"/>
        <v>227792.00640000001</v>
      </c>
      <c r="I9" s="35">
        <v>369247.44</v>
      </c>
      <c r="J9" s="35">
        <v>372870.47</v>
      </c>
      <c r="K9" s="38">
        <f t="shared" si="0"/>
        <v>3623.0299999999697</v>
      </c>
      <c r="L9" s="39">
        <f t="shared" si="1"/>
        <v>9.8119299080312375E-3</v>
      </c>
      <c r="M9" s="35">
        <f t="shared" si="2"/>
        <v>145078.46359999996</v>
      </c>
      <c r="N9" s="40">
        <f t="shared" si="3"/>
        <v>1.6368900555063548</v>
      </c>
    </row>
    <row r="10" spans="1:14" x14ac:dyDescent="0.3">
      <c r="A10" s="33" t="s">
        <v>48</v>
      </c>
      <c r="B10" s="34" t="s">
        <v>49</v>
      </c>
      <c r="C10" s="35">
        <v>250000</v>
      </c>
      <c r="D10" s="36">
        <v>212500</v>
      </c>
      <c r="E10" s="35">
        <v>173859</v>
      </c>
      <c r="F10" s="37">
        <v>0.30659999999999998</v>
      </c>
      <c r="G10" s="35">
        <f t="shared" si="4"/>
        <v>120553.8306</v>
      </c>
      <c r="H10" s="35">
        <f t="shared" si="5"/>
        <v>144664.59672</v>
      </c>
      <c r="I10" s="35">
        <v>354052.6</v>
      </c>
      <c r="J10" s="35">
        <v>363767.88</v>
      </c>
      <c r="K10" s="38">
        <f t="shared" si="0"/>
        <v>9715.2800000000279</v>
      </c>
      <c r="L10" s="39">
        <f t="shared" si="1"/>
        <v>2.7440216510202238E-2</v>
      </c>
      <c r="M10" s="35">
        <f t="shared" si="2"/>
        <v>219103.28328</v>
      </c>
      <c r="N10" s="40">
        <f t="shared" si="3"/>
        <v>2.5145604954339791</v>
      </c>
    </row>
    <row r="11" spans="1:14" x14ac:dyDescent="0.3">
      <c r="A11" s="33" t="s">
        <v>50</v>
      </c>
      <c r="B11" s="34" t="s">
        <v>51</v>
      </c>
      <c r="C11" s="35">
        <v>310000</v>
      </c>
      <c r="D11" s="36">
        <v>263500</v>
      </c>
      <c r="E11" s="35">
        <v>290375</v>
      </c>
      <c r="F11" s="37">
        <v>0.33610000000000001</v>
      </c>
      <c r="G11" s="35">
        <f t="shared" si="4"/>
        <v>192779.96249999999</v>
      </c>
      <c r="H11" s="35">
        <f t="shared" si="5"/>
        <v>231335.95499999999</v>
      </c>
      <c r="I11" s="35">
        <v>293419.92</v>
      </c>
      <c r="J11" s="35">
        <v>293343.98</v>
      </c>
      <c r="K11" s="38">
        <f t="shared" si="0"/>
        <v>-75.940000000002328</v>
      </c>
      <c r="L11" s="39">
        <f t="shared" si="1"/>
        <v>-2.5880996763956015E-4</v>
      </c>
      <c r="M11" s="35">
        <f t="shared" si="2"/>
        <v>62008.024999999994</v>
      </c>
      <c r="N11" s="40">
        <f t="shared" si="3"/>
        <v>1.2680431798852885</v>
      </c>
    </row>
    <row r="12" spans="1:14" x14ac:dyDescent="0.3">
      <c r="A12" s="33" t="s">
        <v>52</v>
      </c>
      <c r="B12" s="34" t="s">
        <v>53</v>
      </c>
      <c r="C12" s="35">
        <v>300000</v>
      </c>
      <c r="D12" s="36">
        <v>255000</v>
      </c>
      <c r="E12" s="35">
        <v>177929</v>
      </c>
      <c r="F12" s="37">
        <v>0.31929999999999997</v>
      </c>
      <c r="G12" s="35">
        <f t="shared" si="4"/>
        <v>121116.27030000002</v>
      </c>
      <c r="H12" s="35">
        <f t="shared" si="5"/>
        <v>145339.52436000001</v>
      </c>
      <c r="I12" s="35">
        <v>286670.39</v>
      </c>
      <c r="J12" s="35">
        <v>289688.77</v>
      </c>
      <c r="K12" s="38">
        <f t="shared" si="0"/>
        <v>3018.3800000000047</v>
      </c>
      <c r="L12" s="39">
        <f t="shared" si="1"/>
        <v>1.0529095802325467E-2</v>
      </c>
      <c r="M12" s="35">
        <f t="shared" si="2"/>
        <v>144349.24564000001</v>
      </c>
      <c r="N12" s="40">
        <f t="shared" si="3"/>
        <v>1.993186445845611</v>
      </c>
    </row>
    <row r="13" spans="1:14" x14ac:dyDescent="0.3">
      <c r="A13" s="41" t="s">
        <v>54</v>
      </c>
      <c r="B13" s="34" t="s">
        <v>55</v>
      </c>
      <c r="C13" s="35">
        <v>430000</v>
      </c>
      <c r="D13" s="36">
        <v>365500</v>
      </c>
      <c r="E13" s="35">
        <v>316047</v>
      </c>
      <c r="F13" s="37">
        <v>0.36259999999999998</v>
      </c>
      <c r="G13" s="35">
        <f t="shared" si="4"/>
        <v>201448.3578</v>
      </c>
      <c r="H13" s="35">
        <f t="shared" si="5"/>
        <v>241738.02935999999</v>
      </c>
      <c r="I13" s="35">
        <v>382074.89</v>
      </c>
      <c r="J13" s="35">
        <v>373416.3</v>
      </c>
      <c r="K13" s="38">
        <f t="shared" si="0"/>
        <v>-8658.5900000000256</v>
      </c>
      <c r="L13" s="39">
        <f t="shared" si="1"/>
        <v>-2.2662023144206168E-2</v>
      </c>
      <c r="M13" s="35">
        <f t="shared" si="2"/>
        <v>131678.27064</v>
      </c>
      <c r="N13" s="40">
        <f t="shared" si="3"/>
        <v>1.5447147517029798</v>
      </c>
    </row>
    <row r="14" spans="1:14" x14ac:dyDescent="0.3">
      <c r="A14" s="33" t="s">
        <v>56</v>
      </c>
      <c r="B14" s="34" t="s">
        <v>57</v>
      </c>
      <c r="C14" s="35">
        <v>520000</v>
      </c>
      <c r="D14" s="36">
        <v>442000</v>
      </c>
      <c r="E14" s="35">
        <v>425157</v>
      </c>
      <c r="F14" s="37">
        <v>0.32329999999999998</v>
      </c>
      <c r="G14" s="35">
        <f t="shared" si="4"/>
        <v>287703.74190000002</v>
      </c>
      <c r="H14" s="35">
        <f t="shared" si="5"/>
        <v>345244.49028000003</v>
      </c>
      <c r="I14" s="35">
        <v>542400.42000000004</v>
      </c>
      <c r="J14" s="35">
        <v>521136.47</v>
      </c>
      <c r="K14" s="38">
        <f t="shared" si="0"/>
        <v>-21263.95000000007</v>
      </c>
      <c r="L14" s="39">
        <f t="shared" si="1"/>
        <v>-3.9203417283489694E-2</v>
      </c>
      <c r="M14" s="35">
        <f t="shared" si="2"/>
        <v>175891.97971999994</v>
      </c>
      <c r="N14" s="40">
        <f t="shared" si="3"/>
        <v>1.5094707799025211</v>
      </c>
    </row>
    <row r="15" spans="1:14" x14ac:dyDescent="0.3">
      <c r="A15" s="41" t="s">
        <v>58</v>
      </c>
      <c r="B15" s="34" t="s">
        <v>59</v>
      </c>
      <c r="C15" s="35">
        <v>140000</v>
      </c>
      <c r="D15" s="36">
        <v>119000</v>
      </c>
      <c r="E15" s="35">
        <v>79759</v>
      </c>
      <c r="F15" s="37">
        <v>0.38750000000000001</v>
      </c>
      <c r="G15" s="35">
        <f t="shared" si="4"/>
        <v>48852.387500000004</v>
      </c>
      <c r="H15" s="35">
        <f t="shared" si="5"/>
        <v>58622.865000000005</v>
      </c>
      <c r="I15" s="35">
        <v>187073.58</v>
      </c>
      <c r="J15" s="35">
        <v>192152.37</v>
      </c>
      <c r="K15" s="38">
        <f t="shared" si="0"/>
        <v>5078.7900000000081</v>
      </c>
      <c r="L15" s="39">
        <f t="shared" si="1"/>
        <v>2.714862248319623E-2</v>
      </c>
      <c r="M15" s="35">
        <f t="shared" si="2"/>
        <v>133529.505</v>
      </c>
      <c r="N15" s="40">
        <f t="shared" si="3"/>
        <v>3.2777717363353016</v>
      </c>
    </row>
    <row r="16" spans="1:14" x14ac:dyDescent="0.3">
      <c r="A16" s="33" t="s">
        <v>60</v>
      </c>
      <c r="B16" s="34" t="s">
        <v>61</v>
      </c>
      <c r="C16" s="35">
        <v>220000</v>
      </c>
      <c r="D16" s="36">
        <v>187000</v>
      </c>
      <c r="E16" s="35">
        <v>201705</v>
      </c>
      <c r="F16" s="37">
        <v>0.33939999999999998</v>
      </c>
      <c r="G16" s="35">
        <f t="shared" si="4"/>
        <v>133246.323</v>
      </c>
      <c r="H16" s="35">
        <f t="shared" si="5"/>
        <v>159895.5876</v>
      </c>
      <c r="I16" s="35">
        <v>270475.09000000003</v>
      </c>
      <c r="J16" s="35">
        <v>270043.36</v>
      </c>
      <c r="K16" s="38">
        <f t="shared" si="0"/>
        <v>-431.73000000003958</v>
      </c>
      <c r="L16" s="39">
        <f t="shared" si="1"/>
        <v>-1.5961913535181356E-3</v>
      </c>
      <c r="M16" s="35">
        <f t="shared" si="2"/>
        <v>110147.77239999999</v>
      </c>
      <c r="N16" s="40">
        <f t="shared" si="3"/>
        <v>1.6888731205988576</v>
      </c>
    </row>
    <row r="17" spans="1:14" x14ac:dyDescent="0.3">
      <c r="A17" s="41" t="s">
        <v>62</v>
      </c>
      <c r="B17" s="34" t="s">
        <v>63</v>
      </c>
      <c r="C17" s="35">
        <v>190000</v>
      </c>
      <c r="D17" s="36">
        <v>161500</v>
      </c>
      <c r="E17" s="35">
        <v>167968</v>
      </c>
      <c r="F17" s="37">
        <v>0.34360000000000002</v>
      </c>
      <c r="G17" s="35">
        <f t="shared" si="4"/>
        <v>110254.1952</v>
      </c>
      <c r="H17" s="35">
        <f t="shared" si="5"/>
        <v>132305.03424000001</v>
      </c>
      <c r="I17" s="35">
        <v>199696.45</v>
      </c>
      <c r="J17" s="35">
        <v>199042.46</v>
      </c>
      <c r="K17" s="38">
        <f t="shared" si="0"/>
        <v>-653.99000000001979</v>
      </c>
      <c r="L17" s="39">
        <f t="shared" si="1"/>
        <v>-3.2749205106050697E-3</v>
      </c>
      <c r="M17" s="35">
        <f t="shared" si="2"/>
        <v>66737.425759999984</v>
      </c>
      <c r="N17" s="40">
        <f t="shared" si="3"/>
        <v>1.5044209099325652</v>
      </c>
    </row>
    <row r="18" spans="1:14" x14ac:dyDescent="0.3">
      <c r="A18" s="33" t="s">
        <v>64</v>
      </c>
      <c r="B18" s="34" t="s">
        <v>65</v>
      </c>
      <c r="C18" s="35">
        <v>160000</v>
      </c>
      <c r="D18" s="36">
        <v>136000</v>
      </c>
      <c r="E18" s="35">
        <v>139300</v>
      </c>
      <c r="F18" s="37">
        <v>0.33689999999999998</v>
      </c>
      <c r="G18" s="35">
        <f t="shared" si="4"/>
        <v>92369.83</v>
      </c>
      <c r="H18" s="35">
        <f t="shared" si="5"/>
        <v>110843.796</v>
      </c>
      <c r="I18" s="35">
        <v>129874.99</v>
      </c>
      <c r="J18" s="35">
        <v>131463.16</v>
      </c>
      <c r="K18" s="38">
        <f t="shared" si="0"/>
        <v>1588.1699999999983</v>
      </c>
      <c r="L18" s="39">
        <f t="shared" si="1"/>
        <v>1.2228451374664192E-2</v>
      </c>
      <c r="M18" s="35">
        <f t="shared" si="2"/>
        <v>20619.364000000001</v>
      </c>
      <c r="N18" s="40">
        <f t="shared" si="3"/>
        <v>1.1860218139768508</v>
      </c>
    </row>
    <row r="19" spans="1:14" x14ac:dyDescent="0.3">
      <c r="A19" s="41" t="s">
        <v>66</v>
      </c>
      <c r="B19" s="34" t="s">
        <v>67</v>
      </c>
      <c r="C19" s="35">
        <v>130000</v>
      </c>
      <c r="D19" s="36">
        <v>110500</v>
      </c>
      <c r="E19" s="35">
        <v>90363</v>
      </c>
      <c r="F19" s="37">
        <v>0.39479999999999998</v>
      </c>
      <c r="G19" s="35">
        <f t="shared" si="4"/>
        <v>54687.687599999997</v>
      </c>
      <c r="H19" s="35">
        <f t="shared" si="5"/>
        <v>65625.225119999988</v>
      </c>
      <c r="I19" s="35">
        <v>154002.32</v>
      </c>
      <c r="J19" s="35">
        <v>157999.12</v>
      </c>
      <c r="K19" s="38">
        <f t="shared" si="0"/>
        <v>3996.7999999999884</v>
      </c>
      <c r="L19" s="39">
        <f t="shared" si="1"/>
        <v>2.5952855775159673E-2</v>
      </c>
      <c r="M19" s="35">
        <f t="shared" si="2"/>
        <v>92373.894880000007</v>
      </c>
      <c r="N19" s="40">
        <f t="shared" si="3"/>
        <v>2.4075973790731893</v>
      </c>
    </row>
    <row r="20" spans="1:14" x14ac:dyDescent="0.3">
      <c r="A20" s="33" t="s">
        <v>68</v>
      </c>
      <c r="B20" s="34" t="s">
        <v>69</v>
      </c>
      <c r="C20" s="35">
        <v>130000</v>
      </c>
      <c r="D20" s="36">
        <v>110500</v>
      </c>
      <c r="E20" s="35">
        <v>88668</v>
      </c>
      <c r="F20" s="37">
        <v>0.35060000000000002</v>
      </c>
      <c r="G20" s="35">
        <f t="shared" si="4"/>
        <v>57580.999199999998</v>
      </c>
      <c r="H20" s="35">
        <f t="shared" si="5"/>
        <v>69097.199039999992</v>
      </c>
      <c r="I20" s="35">
        <v>194575.19</v>
      </c>
      <c r="J20" s="35">
        <v>196491.3</v>
      </c>
      <c r="K20" s="38">
        <f t="shared" si="0"/>
        <v>1916.109999999986</v>
      </c>
      <c r="L20" s="39">
        <f t="shared" si="1"/>
        <v>9.8476583782340695E-3</v>
      </c>
      <c r="M20" s="35">
        <f t="shared" si="2"/>
        <v>127394.10096</v>
      </c>
      <c r="N20" s="40">
        <f t="shared" si="3"/>
        <v>2.8436941399933193</v>
      </c>
    </row>
    <row r="21" spans="1:14" x14ac:dyDescent="0.3">
      <c r="A21" s="41" t="s">
        <v>70</v>
      </c>
      <c r="B21" s="34" t="s">
        <v>71</v>
      </c>
      <c r="C21" s="35">
        <v>130000</v>
      </c>
      <c r="D21" s="36">
        <v>110500</v>
      </c>
      <c r="E21" s="35">
        <v>107557</v>
      </c>
      <c r="F21" s="37">
        <v>0.3352</v>
      </c>
      <c r="G21" s="35">
        <f t="shared" si="4"/>
        <v>71503.89360000001</v>
      </c>
      <c r="H21" s="35">
        <f t="shared" si="5"/>
        <v>85804.672320000012</v>
      </c>
      <c r="I21" s="35">
        <v>293297.34000000003</v>
      </c>
      <c r="J21" s="35">
        <v>307689.52</v>
      </c>
      <c r="K21" s="38">
        <f t="shared" si="0"/>
        <v>14392.179999999993</v>
      </c>
      <c r="L21" s="39">
        <f t="shared" si="1"/>
        <v>4.9070271145316188E-2</v>
      </c>
      <c r="M21" s="35">
        <f t="shared" si="2"/>
        <v>221884.84768000001</v>
      </c>
      <c r="N21" s="40">
        <f t="shared" si="3"/>
        <v>3.5859296665396316</v>
      </c>
    </row>
    <row r="22" spans="1:14" x14ac:dyDescent="0.3">
      <c r="A22" s="33" t="s">
        <v>72</v>
      </c>
      <c r="B22" s="34" t="s">
        <v>73</v>
      </c>
      <c r="C22" s="35">
        <v>180000</v>
      </c>
      <c r="D22" s="36">
        <v>153000</v>
      </c>
      <c r="E22" s="35">
        <v>127467</v>
      </c>
      <c r="F22" s="37">
        <v>0.31419999999999998</v>
      </c>
      <c r="G22" s="35">
        <f t="shared" si="4"/>
        <v>87416.868600000002</v>
      </c>
      <c r="H22" s="35">
        <f t="shared" si="5"/>
        <v>104900.24232</v>
      </c>
      <c r="I22" s="35">
        <v>261854.59</v>
      </c>
      <c r="J22" s="35">
        <v>256900.95</v>
      </c>
      <c r="K22" s="38">
        <f t="shared" si="0"/>
        <v>-4953.6399999999849</v>
      </c>
      <c r="L22" s="39">
        <f t="shared" si="1"/>
        <v>-1.8917522125542978E-2</v>
      </c>
      <c r="M22" s="35">
        <f t="shared" si="2"/>
        <v>152000.70767999999</v>
      </c>
      <c r="N22" s="40">
        <f t="shared" si="3"/>
        <v>2.4490024457361996</v>
      </c>
    </row>
    <row r="23" spans="1:14" x14ac:dyDescent="0.3">
      <c r="A23" s="41" t="s">
        <v>74</v>
      </c>
      <c r="B23" s="34" t="s">
        <v>75</v>
      </c>
      <c r="C23" s="35">
        <v>100000</v>
      </c>
      <c r="D23" s="36">
        <v>85000</v>
      </c>
      <c r="E23" s="35">
        <v>33946</v>
      </c>
      <c r="F23" s="37">
        <v>0.36559999999999998</v>
      </c>
      <c r="G23" s="35">
        <f t="shared" si="4"/>
        <v>21535.342400000001</v>
      </c>
      <c r="H23" s="35">
        <f t="shared" si="5"/>
        <v>25842.410879999999</v>
      </c>
      <c r="I23" s="35">
        <v>119354.69</v>
      </c>
      <c r="J23" s="35">
        <v>116626.71</v>
      </c>
      <c r="K23" s="38">
        <f t="shared" si="0"/>
        <v>-2727.9799999999959</v>
      </c>
      <c r="L23" s="39">
        <f t="shared" si="1"/>
        <v>-2.2856077126085249E-2</v>
      </c>
      <c r="M23" s="35">
        <f t="shared" si="2"/>
        <v>90784.299120000011</v>
      </c>
      <c r="N23" s="40">
        <f t="shared" si="3"/>
        <v>4.5129965056882497</v>
      </c>
    </row>
    <row r="24" spans="1:14" x14ac:dyDescent="0.3">
      <c r="A24" s="33" t="s">
        <v>76</v>
      </c>
      <c r="B24" s="34" t="s">
        <v>77</v>
      </c>
      <c r="C24" s="35">
        <v>100000</v>
      </c>
      <c r="D24" s="36">
        <v>85000</v>
      </c>
      <c r="E24" s="35">
        <v>69015</v>
      </c>
      <c r="F24" s="37">
        <v>0.37669999999999998</v>
      </c>
      <c r="G24" s="35">
        <f t="shared" si="4"/>
        <v>43017.049500000001</v>
      </c>
      <c r="H24" s="35">
        <f t="shared" si="5"/>
        <v>51620.4594</v>
      </c>
      <c r="I24" s="35">
        <v>180372.3</v>
      </c>
      <c r="J24" s="35">
        <v>174804.92</v>
      </c>
      <c r="K24" s="38">
        <f t="shared" si="0"/>
        <v>-5567.3799999999756</v>
      </c>
      <c r="L24" s="39">
        <f t="shared" si="1"/>
        <v>-3.0866047613741E-2</v>
      </c>
      <c r="M24" s="35">
        <f t="shared" si="2"/>
        <v>123184.46060000002</v>
      </c>
      <c r="N24" s="40">
        <f t="shared" si="3"/>
        <v>3.386349560461293</v>
      </c>
    </row>
    <row r="25" spans="1:14" x14ac:dyDescent="0.3">
      <c r="A25" s="41" t="s">
        <v>78</v>
      </c>
      <c r="B25" s="34" t="s">
        <v>79</v>
      </c>
      <c r="C25" s="35">
        <v>110000</v>
      </c>
      <c r="D25" s="36">
        <v>93500</v>
      </c>
      <c r="E25" s="35">
        <v>93266</v>
      </c>
      <c r="F25" s="37">
        <v>0.38990000000000002</v>
      </c>
      <c r="G25" s="35">
        <f t="shared" si="4"/>
        <v>56901.586599999995</v>
      </c>
      <c r="H25" s="35">
        <f t="shared" si="5"/>
        <v>68281.903919999997</v>
      </c>
      <c r="I25" s="35">
        <v>303236.84000000003</v>
      </c>
      <c r="J25" s="35">
        <v>255024.24</v>
      </c>
      <c r="K25" s="38">
        <f t="shared" si="0"/>
        <v>-48212.600000000035</v>
      </c>
      <c r="L25" s="39">
        <f t="shared" si="1"/>
        <v>-0.15899321467668648</v>
      </c>
      <c r="M25" s="35">
        <f t="shared" si="2"/>
        <v>186742.33607999998</v>
      </c>
      <c r="N25" s="40">
        <f t="shared" si="3"/>
        <v>3.7348730096745668</v>
      </c>
    </row>
    <row r="26" spans="1:14" x14ac:dyDescent="0.3">
      <c r="A26" s="41" t="s">
        <v>80</v>
      </c>
      <c r="B26" s="34" t="s">
        <v>81</v>
      </c>
      <c r="C26" s="35">
        <v>90000</v>
      </c>
      <c r="D26" s="36">
        <v>76500</v>
      </c>
      <c r="E26" s="35">
        <v>36503</v>
      </c>
      <c r="F26" s="37">
        <v>0.38879999999999998</v>
      </c>
      <c r="G26" s="35">
        <f t="shared" si="4"/>
        <v>22310.633599999997</v>
      </c>
      <c r="H26" s="35">
        <f t="shared" si="5"/>
        <v>26772.760319999998</v>
      </c>
      <c r="I26" s="35">
        <v>244381.92</v>
      </c>
      <c r="J26" s="35">
        <v>239750.75</v>
      </c>
      <c r="K26" s="38">
        <f t="shared" si="0"/>
        <v>-4631.1700000000128</v>
      </c>
      <c r="L26" s="39">
        <f t="shared" si="1"/>
        <v>-1.8950542658802305E-2</v>
      </c>
      <c r="M26" s="35">
        <f t="shared" si="2"/>
        <v>212977.98968</v>
      </c>
      <c r="N26" s="40">
        <f t="shared" si="3"/>
        <v>8.9550254487916785</v>
      </c>
    </row>
    <row r="27" spans="1:14" x14ac:dyDescent="0.3">
      <c r="A27" s="42">
        <v>2</v>
      </c>
      <c r="B27" s="43" t="s">
        <v>82</v>
      </c>
      <c r="C27" s="44"/>
      <c r="D27" s="45"/>
      <c r="E27" s="44"/>
      <c r="F27" s="46"/>
      <c r="G27" s="44"/>
      <c r="H27" s="44">
        <f>H3</f>
        <v>4104314.8651200007</v>
      </c>
      <c r="I27" s="44">
        <v>4508735.5</v>
      </c>
      <c r="J27" s="44">
        <v>4384169.67</v>
      </c>
      <c r="K27" s="44">
        <f t="shared" si="0"/>
        <v>-124565.83000000007</v>
      </c>
      <c r="L27" s="47">
        <f t="shared" si="1"/>
        <v>-2.7627664120017704E-2</v>
      </c>
      <c r="M27" s="44">
        <f t="shared" si="2"/>
        <v>279854.80487999925</v>
      </c>
      <c r="N27" s="47">
        <f t="shared" si="3"/>
        <v>1.0681855106337748</v>
      </c>
    </row>
    <row r="28" spans="1:14" x14ac:dyDescent="0.3">
      <c r="A28" s="48">
        <v>3</v>
      </c>
      <c r="B28" s="49" t="s">
        <v>83</v>
      </c>
      <c r="C28" s="50">
        <f>C3</f>
        <v>6400000</v>
      </c>
      <c r="D28" s="51">
        <f>D3</f>
        <v>5440000</v>
      </c>
      <c r="E28" s="50">
        <f>E3</f>
        <v>5111043</v>
      </c>
      <c r="F28" s="52">
        <f>IFERROR(1-G28/E28,0)</f>
        <v>0.33080931081972886</v>
      </c>
      <c r="G28" s="50">
        <f>G3</f>
        <v>3420262.3876000005</v>
      </c>
      <c r="H28" s="50">
        <f>H3+H27</f>
        <v>8208629.7302400013</v>
      </c>
      <c r="I28" s="50">
        <f>I3+I27</f>
        <v>11319774.780000001</v>
      </c>
      <c r="J28" s="50">
        <f>J3+J27</f>
        <v>11120028.26</v>
      </c>
      <c r="K28" s="50">
        <f>K3+K27</f>
        <v>-199746.52000000142</v>
      </c>
      <c r="L28" s="53">
        <f t="shared" si="1"/>
        <v>-1.764580337348385E-2</v>
      </c>
      <c r="M28" s="50">
        <f>M3+M27</f>
        <v>2911398.5297599984</v>
      </c>
      <c r="N28" s="53">
        <f t="shared" si="3"/>
        <v>1.3546753386907702</v>
      </c>
    </row>
    <row r="29" spans="1:14" x14ac:dyDescent="0.3">
      <c r="A29" s="2"/>
      <c r="B29" s="3"/>
      <c r="C29" s="4"/>
      <c r="D29" s="5"/>
      <c r="E29" s="4"/>
      <c r="F29" s="4"/>
      <c r="G29" s="4"/>
      <c r="H29" s="4"/>
      <c r="I29" s="4"/>
      <c r="J29" s="4"/>
      <c r="K29" s="19"/>
      <c r="L29" s="18"/>
      <c r="M29" s="4"/>
      <c r="N29" s="5"/>
    </row>
    <row r="30" spans="1:14" x14ac:dyDescent="0.3">
      <c r="A30" s="6"/>
      <c r="B30" s="7"/>
      <c r="C30" s="8"/>
      <c r="D30" s="9"/>
      <c r="E30" s="8"/>
      <c r="F30" s="8"/>
      <c r="G30" s="8"/>
      <c r="H30" s="8"/>
      <c r="I30" s="8"/>
      <c r="J30" s="8"/>
      <c r="K30" s="21"/>
      <c r="L30" s="9"/>
      <c r="M30" s="8"/>
      <c r="N30" s="9"/>
    </row>
    <row r="31" spans="1:14" x14ac:dyDescent="0.3">
      <c r="A31" s="10"/>
      <c r="B31" s="11"/>
      <c r="C31" s="11"/>
      <c r="D31" s="11"/>
      <c r="E31" s="11"/>
      <c r="F31" s="12"/>
      <c r="G31" s="12"/>
      <c r="H31" s="12"/>
      <c r="I31" s="12"/>
      <c r="J31" s="12"/>
      <c r="K31" s="20"/>
      <c r="L31" s="13"/>
      <c r="M31" s="12"/>
      <c r="N31" s="13"/>
    </row>
    <row r="32" spans="1:14" x14ac:dyDescent="0.3">
      <c r="A32" s="14"/>
      <c r="B32" s="15"/>
      <c r="C32" s="15"/>
      <c r="D32" s="15"/>
      <c r="E32" s="15"/>
      <c r="F32" s="16"/>
      <c r="G32" s="16"/>
      <c r="H32" s="16"/>
      <c r="I32" s="16"/>
      <c r="J32" s="16"/>
      <c r="K32" s="22"/>
      <c r="L32" s="17"/>
      <c r="M32" s="16"/>
      <c r="N32" s="17"/>
    </row>
  </sheetData>
  <autoFilter ref="A2:N28" xr:uid="{00000000-0009-0000-0000-000000000000}"/>
  <conditionalFormatting sqref="L4:M28">
    <cfRule type="cellIs" dxfId="4" priority="4" operator="lessThan">
      <formula>0</formula>
    </cfRule>
    <cfRule type="cellIs" dxfId="3" priority="5" operator="greaterThanOrEqual">
      <formula>0</formula>
    </cfRule>
  </conditionalFormatting>
  <conditionalFormatting sqref="N4:N28">
    <cfRule type="cellIs" dxfId="2" priority="1" operator="lessThan">
      <formula>0.9</formula>
    </cfRule>
    <cfRule type="cellIs" dxfId="1" priority="2" operator="between">
      <formula>0.9</formula>
      <formula>1</formula>
    </cfRule>
    <cfRule type="cellIs" dxfId="0" priority="3" operator="greaterThanOrEqual">
      <formula>1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showGridLines="0" tabSelected="1" workbookViewId="0"/>
  </sheetViews>
  <sheetFormatPr baseColWidth="10" defaultColWidth="8.88671875" defaultRowHeight="14.4" x14ac:dyDescent="0.3"/>
  <cols>
    <col min="1" max="1" width="26" customWidth="1"/>
    <col min="2" max="2" width="110" customWidth="1"/>
  </cols>
  <sheetData>
    <row r="1" spans="1:2" x14ac:dyDescent="0.3">
      <c r="A1" s="54" t="s">
        <v>0</v>
      </c>
      <c r="B1" s="54" t="s">
        <v>1</v>
      </c>
    </row>
    <row r="2" spans="1:2" x14ac:dyDescent="0.3">
      <c r="A2" s="55" t="s">
        <v>2</v>
      </c>
      <c r="B2" s="55" t="s">
        <v>3</v>
      </c>
    </row>
    <row r="3" spans="1:2" x14ac:dyDescent="0.3">
      <c r="A3" s="55" t="s">
        <v>4</v>
      </c>
      <c r="B3" s="55" t="s">
        <v>5</v>
      </c>
    </row>
    <row r="4" spans="1:2" x14ac:dyDescent="0.3">
      <c r="A4" s="55" t="s">
        <v>6</v>
      </c>
      <c r="B4" s="55" t="s">
        <v>7</v>
      </c>
    </row>
    <row r="5" spans="1:2" x14ac:dyDescent="0.3">
      <c r="A5" s="55" t="s">
        <v>8</v>
      </c>
      <c r="B5" s="55" t="s">
        <v>9</v>
      </c>
    </row>
    <row r="6" spans="1:2" x14ac:dyDescent="0.3">
      <c r="A6" s="55" t="s">
        <v>10</v>
      </c>
      <c r="B6" s="55" t="s">
        <v>11</v>
      </c>
    </row>
    <row r="7" spans="1:2" x14ac:dyDescent="0.3">
      <c r="A7" s="55" t="s">
        <v>12</v>
      </c>
      <c r="B7" s="55" t="s">
        <v>13</v>
      </c>
    </row>
    <row r="8" spans="1:2" x14ac:dyDescent="0.3">
      <c r="A8" s="55" t="s">
        <v>14</v>
      </c>
      <c r="B8" s="55" t="s">
        <v>15</v>
      </c>
    </row>
    <row r="9" spans="1:2" x14ac:dyDescent="0.3">
      <c r="A9" s="55" t="s">
        <v>16</v>
      </c>
      <c r="B9" s="55" t="s">
        <v>17</v>
      </c>
    </row>
    <row r="10" spans="1:2" x14ac:dyDescent="0.3">
      <c r="A10" s="55" t="s">
        <v>16</v>
      </c>
      <c r="B10" s="55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Validacion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Cabellos Medrano</dc:creator>
  <cp:lastModifiedBy>na187</cp:lastModifiedBy>
  <dcterms:created xsi:type="dcterms:W3CDTF">2025-11-11T14:34:01Z</dcterms:created>
  <dcterms:modified xsi:type="dcterms:W3CDTF">2026-05-08T21:23:28Z</dcterms:modified>
</cp:coreProperties>
</file>