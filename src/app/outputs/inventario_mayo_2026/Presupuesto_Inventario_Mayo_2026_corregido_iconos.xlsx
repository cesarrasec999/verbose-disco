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Validacion" sheetId="2" state="visible" r:id="rId2"/>
  </sheets>
  <definedNames>
    <definedName name="_xlnm._FilterDatabase" localSheetId="0" hidden="1">'Hoja1'!$A$2:$M$31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FF1F4E78"/>
      <sz val="14"/>
    </font>
    <font>
      <name val="Calibri"/>
      <b val="1"/>
      <sz val="11"/>
    </font>
    <font>
      <name val="Calibri"/>
      <b val="1"/>
      <color rgb="FF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AF7"/>
      </patternFill>
    </fill>
    <fill>
      <patternFill patternType="solid">
        <fgColor rgb="FFFFF200"/>
      </patternFill>
    </fill>
    <fill>
      <patternFill patternType="solid">
        <fgColor rgb="FFE7E6E6"/>
      </patternFill>
    </fill>
    <fill>
      <patternFill patternType="solid">
        <fgColor rgb="FFBFBFBF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1" fillId="0" borderId="0"/>
    <xf numFmtId="9" fontId="1" fillId="0" borderId="0"/>
  </cellStyleXfs>
  <cellXfs count="43">
    <xf numFmtId="0" fontId="0" fillId="0" borderId="0" pivotButton="0" quotePrefix="0" xfId="0"/>
    <xf numFmtId="2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3" fontId="2" fillId="2" borderId="1" pivotButton="0" quotePrefix="0" xfId="0"/>
    <xf numFmtId="10" fontId="2" fillId="2" borderId="1" pivotButton="0" quotePrefix="0" xfId="1"/>
    <xf numFmtId="3" fontId="2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4" fillId="4" borderId="2" applyAlignment="1" pivotButton="0" quotePrefix="0" xfId="0">
      <alignment horizontal="center" vertical="center" wrapText="1"/>
    </xf>
    <xf numFmtId="16" fontId="4" fillId="4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/>
    </xf>
    <xf numFmtId="0" fontId="4" fillId="5" borderId="3" applyAlignment="1" pivotButton="0" quotePrefix="0" xfId="0">
      <alignment vertical="center"/>
    </xf>
    <xf numFmtId="3" fontId="4" fillId="5" borderId="3" applyAlignment="1" pivotButton="0" quotePrefix="0" xfId="0">
      <alignment horizontal="right"/>
    </xf>
    <xf numFmtId="10" fontId="4" fillId="5" borderId="3" applyAlignment="1" pivotButton="0" quotePrefix="0" xfId="0">
      <alignment horizontal="right"/>
    </xf>
    <xf numFmtId="10" fontId="4" fillId="5" borderId="3" applyAlignment="1" pivotButton="0" quotePrefix="0" xfId="1">
      <alignment horizontal="right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vertical="center"/>
    </xf>
    <xf numFmtId="3" fontId="0" fillId="0" borderId="3" applyAlignment="1" pivotButton="0" quotePrefix="0" xfId="0">
      <alignment horizontal="right"/>
    </xf>
    <xf numFmtId="10" fontId="0" fillId="0" borderId="3" applyAlignment="1" pivotButton="0" quotePrefix="0" xfId="0">
      <alignment horizontal="right"/>
    </xf>
    <xf numFmtId="3" fontId="2" fillId="0" borderId="3" applyAlignment="1" pivotButton="0" quotePrefix="0" xfId="0">
      <alignment horizontal="right"/>
    </xf>
    <xf numFmtId="10" fontId="1" fillId="0" borderId="3" applyAlignment="1" pivotButton="0" quotePrefix="0" xfId="1">
      <alignment horizontal="right"/>
    </xf>
    <xf numFmtId="10" fontId="0" fillId="0" borderId="3" applyAlignment="1" pivotButton="0" quotePrefix="0" xfId="1">
      <alignment horizontal="right"/>
    </xf>
    <xf numFmtId="2" fontId="0" fillId="0" borderId="3" applyAlignment="1" pivotButton="0" quotePrefix="0" xfId="0">
      <alignment horizontal="center"/>
    </xf>
    <xf numFmtId="3" fontId="2" fillId="3" borderId="3" applyAlignment="1" pivotButton="0" quotePrefix="0" xfId="0">
      <alignment horizontal="right"/>
    </xf>
    <xf numFmtId="0" fontId="4" fillId="6" borderId="3" applyAlignment="1" pivotButton="0" quotePrefix="0" xfId="0">
      <alignment horizontal="center"/>
    </xf>
    <xf numFmtId="0" fontId="4" fillId="6" borderId="3" applyAlignment="1" pivotButton="0" quotePrefix="0" xfId="0">
      <alignment vertical="center"/>
    </xf>
    <xf numFmtId="3" fontId="4" fillId="6" borderId="3" applyAlignment="1" pivotButton="0" quotePrefix="0" xfId="0">
      <alignment horizontal="right"/>
    </xf>
    <xf numFmtId="10" fontId="4" fillId="6" borderId="3" applyAlignment="1" pivotButton="0" quotePrefix="0" xfId="0">
      <alignment horizontal="right"/>
    </xf>
    <xf numFmtId="10" fontId="4" fillId="6" borderId="3" applyAlignment="1" pivotButton="0" quotePrefix="0" xfId="1">
      <alignment horizontal="right"/>
    </xf>
    <xf numFmtId="0" fontId="4" fillId="7" borderId="3" applyAlignment="1" pivotButton="0" quotePrefix="0" xfId="0">
      <alignment horizontal="center"/>
    </xf>
    <xf numFmtId="0" fontId="4" fillId="7" borderId="3" applyAlignment="1" pivotButton="0" quotePrefix="0" xfId="0">
      <alignment vertical="center"/>
    </xf>
    <xf numFmtId="3" fontId="4" fillId="7" borderId="3" applyAlignment="1" pivotButton="0" quotePrefix="0" xfId="0">
      <alignment horizontal="right"/>
    </xf>
    <xf numFmtId="10" fontId="4" fillId="7" borderId="3" applyAlignment="1" pivotButton="0" quotePrefix="0" xfId="0">
      <alignment horizontal="right"/>
    </xf>
    <xf numFmtId="10" fontId="4" fillId="7" borderId="3" applyAlignment="1" pivotButton="0" quotePrefix="0" xfId="1">
      <alignment horizontal="right"/>
    </xf>
    <xf numFmtId="0" fontId="5" fillId="8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10" fontId="1" fillId="0" borderId="0" pivotButton="0" quotePrefix="0" xfId="1"/>
    <xf numFmtId="0" fontId="2" fillId="0" borderId="3" applyAlignment="1" pivotButton="0" quotePrefix="0" xfId="0">
      <alignment vertical="center"/>
    </xf>
    <xf numFmtId="3" fontId="6" fillId="0" borderId="3" applyAlignment="1" pivotButton="0" quotePrefix="0" xfId="0">
      <alignment horizontal="right"/>
    </xf>
    <xf numFmtId="0" fontId="6" fillId="0" borderId="0" pivotButton="0" quotePrefix="0" xfId="0"/>
    <xf numFmtId="3" fontId="7" fillId="0" borderId="3" applyAlignment="1" pivotButton="0" quotePrefix="0" xfId="0">
      <alignment horizontal="right"/>
    </xf>
    <xf numFmtId="3" fontId="7" fillId="0" borderId="1" pivotButton="0" quotePrefix="0" xfId="0"/>
  </cellXfs>
  <cellStyles count="2">
    <cellStyle name="Normal" xfId="0" builtinId="0"/>
    <cellStyle name="Porcentaje" xfId="1" builtinId="5"/>
  </cellStyles>
  <dxfs count="7">
    <dxf>
      <font>
        <b val="1"/>
        <color rgb="FF1F4E78"/>
      </font>
      <fill>
        <patternFill patternType="solid">
          <fgColor rgb="FFBDD7E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6500"/>
      </font>
      <fill>
        <patternFill patternType="solid">
          <fgColor rgb="FFFFF2C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6500"/>
      </font>
      <fill>
        <patternFill patternType="solid">
          <fgColor rgb="FFFFF2CC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B25" authorId="0" shapeId="0">
      <text>
        <t>Validar cruce: en stock aparece GPC025 como GPC025 APU - ABANCAY / GPC025 APU - ABANCAY. Se conserva nombre de presupuesto/margen.</t>
      </text>
    </comment>
    <comment ref="B26" authorId="0" shapeId="0">
      <text>
        <t>Validar cruce: en stock aparece GPC026 como GPC026 ICA - ICA / GPC026 ICA - ICA. Se conserva nombre de presupuesto/margen.</t>
      </text>
    </comment>
    <comment ref="E28" authorId="0" shapeId="0">
      <text>
        <t>Margen tomado del modelo 12. Diciembre.xlsx / Hoja1 porque no aparece en la imagen de Mg Real.</t>
      </text>
    </comment>
    <comment ref="E29" authorId="0" shapeId="0">
      <text>
        <t>Margen tomado del modelo 12. Diciembre.xlsx / Hoja1 porque no aparece en la imagen de Mg Real.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tabSelected="1" topLeftCell="A2" zoomScale="84" workbookViewId="0">
      <pane xSplit="2" ySplit="3" topLeftCell="C5" activePane="bottomRight" state="frozen"/>
      <selection pane="topRight" activeCell="A1" sqref="A1"/>
      <selection pane="bottomLeft" activeCell="A1" sqref="A1"/>
      <selection pane="bottomRight" activeCell="H23" sqref="H23"/>
    </sheetView>
  </sheetViews>
  <sheetFormatPr baseColWidth="10" defaultRowHeight="14.4"/>
  <cols>
    <col width="8" customWidth="1" min="1" max="1"/>
    <col width="34" customWidth="1" min="2" max="2"/>
    <col width="14" customWidth="1" min="3" max="3"/>
    <col width="16" customWidth="1" min="4" max="4"/>
    <col width="12" customWidth="1" min="5" max="5"/>
    <col width="15" customWidth="1" min="6" max="7"/>
    <col width="18" customWidth="1" min="8" max="9"/>
    <col width="15" customWidth="1" min="10" max="10"/>
    <col width="13" customWidth="1" min="11" max="11"/>
    <col width="15" customWidth="1" min="12" max="12"/>
    <col width="12" customWidth="1" min="13" max="13"/>
  </cols>
  <sheetData>
    <row r="1" ht="24" customHeight="1">
      <c r="A1" s="7" t="inlineStr">
        <is>
          <t>Presupuesto de Inventario Mayo 2026 - corregido</t>
        </is>
      </c>
      <c r="E1" s="1" t="n"/>
      <c r="F1" s="8" t="inlineStr">
        <is>
          <t>Factor</t>
        </is>
      </c>
      <c r="G1" s="1">
        <f>36/30</f>
        <v/>
      </c>
    </row>
    <row r="2" ht="42" customHeight="1">
      <c r="A2" s="9" t="inlineStr">
        <is>
          <t>Nro.</t>
        </is>
      </c>
      <c r="B2" s="9" t="inlineStr">
        <is>
          <t>TIENDA</t>
        </is>
      </c>
      <c r="C2" s="9" t="inlineStr">
        <is>
          <t>Ppto May 26</t>
        </is>
      </c>
      <c r="D2" s="9" t="inlineStr">
        <is>
          <t>Venta acumulada</t>
        </is>
      </c>
      <c r="E2" s="9" t="inlineStr">
        <is>
          <t>Margen %</t>
        </is>
      </c>
      <c r="F2" s="10" t="inlineStr">
        <is>
          <t>Costo de venta</t>
        </is>
      </c>
      <c r="G2" s="10" t="inlineStr">
        <is>
          <t>Ppto
Inventario</t>
        </is>
      </c>
      <c r="H2" s="10" t="inlineStr">
        <is>
          <t>02/05/2026
VALORIZADO INVENTARIO</t>
        </is>
      </c>
      <c r="I2" s="10" t="inlineStr">
        <is>
          <t>08/05/2026
VALORIZADO INVENTARIO</t>
        </is>
      </c>
      <c r="J2" s="10" t="inlineStr">
        <is>
          <t>Dif [S/]
Inventario</t>
        </is>
      </c>
      <c r="K2" s="10" t="inlineStr">
        <is>
          <t>Dif [%]
Inventario</t>
        </is>
      </c>
      <c r="L2" s="10" t="inlineStr">
        <is>
          <t>Dif [S/]
Resp ppto</t>
        </is>
      </c>
      <c r="M2" s="9" t="inlineStr">
        <is>
          <t>Cump. %</t>
        </is>
      </c>
    </row>
    <row r="3">
      <c r="A3" s="11" t="n">
        <v>1</v>
      </c>
      <c r="B3" s="12" t="inlineStr">
        <is>
          <t>CANAL RETAIL</t>
        </is>
      </c>
      <c r="C3" s="13">
        <f>SUM(C4:C26)</f>
        <v/>
      </c>
      <c r="D3" s="13">
        <f>SUM(D4:D26)</f>
        <v/>
      </c>
      <c r="E3" s="14">
        <f>IFERROR(1-F3/D3,0)</f>
        <v/>
      </c>
      <c r="F3" s="13">
        <f>SUM(F4:F26)</f>
        <v/>
      </c>
      <c r="G3" s="13">
        <f>SUM(G4:G26)</f>
        <v/>
      </c>
      <c r="H3" s="13">
        <f>SUM(H4:H26)</f>
        <v/>
      </c>
      <c r="I3" s="13">
        <f>SUM(I4:I26)</f>
        <v/>
      </c>
      <c r="J3" s="13">
        <f>SUM(J4:J26)</f>
        <v/>
      </c>
      <c r="K3" s="15">
        <f>IFERROR(J3/H3,0)</f>
        <v/>
      </c>
      <c r="L3" s="13">
        <f>SUM(L4:L26)</f>
        <v/>
      </c>
      <c r="M3" s="15">
        <f>IFERROR(I3/G3,0)</f>
        <v/>
      </c>
    </row>
    <row r="4">
      <c r="A4" s="16" t="inlineStr">
        <is>
          <t>1.1</t>
        </is>
      </c>
      <c r="B4" s="17" t="inlineStr">
        <is>
          <t>GPC001 PERLA</t>
        </is>
      </c>
      <c r="C4" s="18" t="n">
        <v>1000000</v>
      </c>
      <c r="D4" s="18" t="n">
        <v>976643</v>
      </c>
      <c r="E4" s="19" t="n">
        <v>0.3043</v>
      </c>
      <c r="F4" s="18">
        <f>D4*(1-E4)</f>
        <v/>
      </c>
      <c r="G4" s="18">
        <f>F4*$G$1</f>
        <v/>
      </c>
      <c r="H4" s="18" t="n">
        <v>584633.46</v>
      </c>
      <c r="I4" s="18" t="n">
        <v>553471.29</v>
      </c>
      <c r="J4" s="20">
        <f>I4-H4</f>
        <v/>
      </c>
      <c r="K4" s="21">
        <f>IFERROR(J4/H4,0)</f>
        <v/>
      </c>
      <c r="L4" s="39">
        <f>I4-G4</f>
        <v/>
      </c>
      <c r="M4" s="22">
        <f>IFERROR(I4/G4,0)</f>
        <v/>
      </c>
      <c r="N4" s="40" t="n"/>
    </row>
    <row r="5">
      <c r="A5" s="16" t="inlineStr">
        <is>
          <t>1.2</t>
        </is>
      </c>
      <c r="B5" s="17" t="inlineStr">
        <is>
          <t>GPC002 SUMINISTRO</t>
        </is>
      </c>
      <c r="C5" s="18" t="n">
        <v>320000</v>
      </c>
      <c r="D5" s="18" t="n">
        <v>268032</v>
      </c>
      <c r="E5" s="19" t="n">
        <v>0.3492</v>
      </c>
      <c r="F5" s="18">
        <f>D5*(1-E5)</f>
        <v/>
      </c>
      <c r="G5" s="18">
        <f>F5*$G$1</f>
        <v/>
      </c>
      <c r="H5" s="18" t="n">
        <v>360423.04</v>
      </c>
      <c r="I5" s="18" t="n">
        <v>352103.53</v>
      </c>
      <c r="J5" s="20">
        <f>I5-H5</f>
        <v/>
      </c>
      <c r="K5" s="21">
        <f>IFERROR(J5/H5,0)</f>
        <v/>
      </c>
      <c r="L5" s="39">
        <f>I5-G5</f>
        <v/>
      </c>
      <c r="M5" s="22">
        <f>IFERROR(I5/G5,0)</f>
        <v/>
      </c>
      <c r="N5" s="40" t="n"/>
    </row>
    <row r="6">
      <c r="A6" s="16" t="inlineStr">
        <is>
          <t>1.3</t>
        </is>
      </c>
      <c r="B6" s="17" t="inlineStr">
        <is>
          <t>GPC003 GRUPO</t>
        </is>
      </c>
      <c r="C6" s="18" t="n">
        <v>520000</v>
      </c>
      <c r="D6" s="18" t="n">
        <v>475878</v>
      </c>
      <c r="E6" s="19" t="n">
        <v>0.3011</v>
      </c>
      <c r="F6" s="18">
        <f>D6*(1-E6)</f>
        <v/>
      </c>
      <c r="G6" s="18">
        <f>F6*$G$1</f>
        <v/>
      </c>
      <c r="H6" s="18" t="n">
        <v>399034.54</v>
      </c>
      <c r="I6" s="18" t="n">
        <v>396157.99</v>
      </c>
      <c r="J6" s="20">
        <f>I6-H6</f>
        <v/>
      </c>
      <c r="K6" s="21">
        <f>IFERROR(J6/H6,0)</f>
        <v/>
      </c>
      <c r="L6" s="39">
        <f>I6-G6</f>
        <v/>
      </c>
      <c r="M6" s="22">
        <f>IFERROR(I6/G6,0)</f>
        <v/>
      </c>
      <c r="N6" s="40" t="n"/>
    </row>
    <row r="7">
      <c r="A7" s="16" t="inlineStr">
        <is>
          <t>1.4</t>
        </is>
      </c>
      <c r="B7" s="17" t="inlineStr">
        <is>
          <t>GPC006 CALLAO</t>
        </is>
      </c>
      <c r="C7" s="18" t="n">
        <v>230000</v>
      </c>
      <c r="D7" s="18" t="n">
        <v>172419</v>
      </c>
      <c r="E7" s="19" t="n">
        <v>0.324</v>
      </c>
      <c r="F7" s="18">
        <f>D7*(1-E7)</f>
        <v/>
      </c>
      <c r="G7" s="18">
        <f>F7*$G$1</f>
        <v/>
      </c>
      <c r="H7" s="18" t="n">
        <v>247623.72</v>
      </c>
      <c r="I7" s="18" t="n">
        <v>261417.63</v>
      </c>
      <c r="J7" s="20">
        <f>I7-H7</f>
        <v/>
      </c>
      <c r="K7" s="21">
        <f>IFERROR(J7/H7,0)</f>
        <v/>
      </c>
      <c r="L7" s="39">
        <f>I7-G7</f>
        <v/>
      </c>
      <c r="M7" s="22">
        <f>IFERROR(I7/G7,0)</f>
        <v/>
      </c>
      <c r="N7" s="40" t="n"/>
    </row>
    <row r="8">
      <c r="A8" s="16" t="inlineStr">
        <is>
          <t>1.5</t>
        </is>
      </c>
      <c r="B8" s="17" t="inlineStr">
        <is>
          <t>GPC007 TRUJILLO</t>
        </is>
      </c>
      <c r="C8" s="18" t="n">
        <v>520000</v>
      </c>
      <c r="D8" s="18" t="n">
        <v>457966</v>
      </c>
      <c r="E8" s="19" t="n">
        <v>0.3489</v>
      </c>
      <c r="F8" s="18">
        <f>D8*(1-E8)</f>
        <v/>
      </c>
      <c r="G8" s="18">
        <f>F8*$G$1</f>
        <v/>
      </c>
      <c r="H8" s="18" t="n">
        <v>453263.56</v>
      </c>
      <c r="I8" s="18" t="n">
        <v>460495.42</v>
      </c>
      <c r="J8" s="20">
        <f>I8-H8</f>
        <v/>
      </c>
      <c r="K8" s="21">
        <f>IFERROR(J8/H8,0)</f>
        <v/>
      </c>
      <c r="L8" s="39">
        <f>I8-G8</f>
        <v/>
      </c>
      <c r="M8" s="22">
        <f>IFERROR(I8/G8,0)</f>
        <v/>
      </c>
      <c r="N8" s="40" t="n"/>
    </row>
    <row r="9">
      <c r="A9" s="16" t="inlineStr">
        <is>
          <t>1.6</t>
        </is>
      </c>
      <c r="B9" s="17" t="inlineStr">
        <is>
          <t>GPC008 CH. DIAMANTE</t>
        </is>
      </c>
      <c r="C9" s="18" t="n">
        <v>320000</v>
      </c>
      <c r="D9" s="18" t="n">
        <v>300258</v>
      </c>
      <c r="E9" s="19" t="n">
        <v>0.321</v>
      </c>
      <c r="F9" s="18">
        <f>D9*(1-E9)</f>
        <v/>
      </c>
      <c r="G9" s="18">
        <f>F9*$G$1</f>
        <v/>
      </c>
      <c r="H9" s="18" t="n">
        <v>369247.44</v>
      </c>
      <c r="I9" s="18" t="n">
        <v>372870.47</v>
      </c>
      <c r="J9" s="20">
        <f>I9-H9</f>
        <v/>
      </c>
      <c r="K9" s="21">
        <f>IFERROR(J9/H9,0)</f>
        <v/>
      </c>
      <c r="L9" s="39">
        <f>I9-G9</f>
        <v/>
      </c>
      <c r="M9" s="22">
        <f>IFERROR(I9/G9,0)</f>
        <v/>
      </c>
      <c r="N9" s="40" t="n"/>
    </row>
    <row r="10">
      <c r="A10" s="16" t="inlineStr">
        <is>
          <t>1.7</t>
        </is>
      </c>
      <c r="B10" s="17" t="inlineStr">
        <is>
          <t>GPC009 CH. LEGUIA</t>
        </is>
      </c>
      <c r="C10" s="18" t="n">
        <v>250000</v>
      </c>
      <c r="D10" s="18" t="n">
        <v>187287</v>
      </c>
      <c r="E10" s="19" t="n">
        <v>0.3066</v>
      </c>
      <c r="F10" s="18">
        <f>D10*(1-E10)</f>
        <v/>
      </c>
      <c r="G10" s="18">
        <f>F10*$G$1</f>
        <v/>
      </c>
      <c r="H10" s="18" t="n">
        <v>354052.6</v>
      </c>
      <c r="I10" s="18" t="n">
        <v>363767.88</v>
      </c>
      <c r="J10" s="20">
        <f>I10-H10</f>
        <v/>
      </c>
      <c r="K10" s="21">
        <f>IFERROR(J10/H10,0)</f>
        <v/>
      </c>
      <c r="L10" s="39">
        <f>I10-G10</f>
        <v/>
      </c>
      <c r="M10" s="22">
        <f>IFERROR(I10/G10,0)</f>
        <v/>
      </c>
      <c r="N10" s="40" t="n"/>
    </row>
    <row r="11">
      <c r="A11" s="16" t="inlineStr">
        <is>
          <t>1.8</t>
        </is>
      </c>
      <c r="B11" s="17" t="inlineStr">
        <is>
          <t>GPC010 ARBOLEDA</t>
        </is>
      </c>
      <c r="C11" s="18" t="n">
        <v>310000</v>
      </c>
      <c r="D11" s="18" t="n">
        <v>300748</v>
      </c>
      <c r="E11" s="19" t="n">
        <v>0.3361</v>
      </c>
      <c r="F11" s="18">
        <f>D11*(1-E11)</f>
        <v/>
      </c>
      <c r="G11" s="18">
        <f>F11*$G$1</f>
        <v/>
      </c>
      <c r="H11" s="18" t="n">
        <v>293419.92</v>
      </c>
      <c r="I11" s="18" t="n">
        <v>293343.98</v>
      </c>
      <c r="J11" s="20">
        <f>I11-H11</f>
        <v/>
      </c>
      <c r="K11" s="21">
        <f>IFERROR(J11/H11,0)</f>
        <v/>
      </c>
      <c r="L11" s="39">
        <f>I11-G11</f>
        <v/>
      </c>
      <c r="M11" s="22">
        <f>IFERROR(I11/G11,0)</f>
        <v/>
      </c>
      <c r="N11" s="40" t="n"/>
    </row>
    <row r="12">
      <c r="A12" s="16" t="inlineStr">
        <is>
          <t>1.9</t>
        </is>
      </c>
      <c r="B12" s="17" t="inlineStr">
        <is>
          <t>GPC011 NARANJAL</t>
        </is>
      </c>
      <c r="C12" s="18" t="n">
        <v>300000</v>
      </c>
      <c r="D12" s="18" t="n">
        <v>189502</v>
      </c>
      <c r="E12" s="19" t="n">
        <v>0.3193</v>
      </c>
      <c r="F12" s="18">
        <f>D12*(1-E12)</f>
        <v/>
      </c>
      <c r="G12" s="18">
        <f>F12*$G$1</f>
        <v/>
      </c>
      <c r="H12" s="18" t="n">
        <v>286670.39</v>
      </c>
      <c r="I12" s="18" t="n">
        <v>289688.77</v>
      </c>
      <c r="J12" s="20">
        <f>I12-H12</f>
        <v/>
      </c>
      <c r="K12" s="21">
        <f>IFERROR(J12/H12,0)</f>
        <v/>
      </c>
      <c r="L12" s="39">
        <f>I12-G12</f>
        <v/>
      </c>
      <c r="M12" s="22">
        <f>IFERROR(I12/G12,0)</f>
        <v/>
      </c>
      <c r="N12" s="40" t="n"/>
    </row>
    <row r="13">
      <c r="A13" s="23" t="inlineStr">
        <is>
          <t>1.10</t>
        </is>
      </c>
      <c r="B13" s="17" t="inlineStr">
        <is>
          <t>GPC012 PIURA</t>
        </is>
      </c>
      <c r="C13" s="18" t="n">
        <v>430000</v>
      </c>
      <c r="D13" s="18" t="n">
        <v>331334</v>
      </c>
      <c r="E13" s="19" t="n">
        <v>0.3626</v>
      </c>
      <c r="F13" s="18">
        <f>D13*(1-E13)</f>
        <v/>
      </c>
      <c r="G13" s="18">
        <f>F13*$G$1</f>
        <v/>
      </c>
      <c r="H13" s="18" t="n">
        <v>382074.89</v>
      </c>
      <c r="I13" s="18" t="n">
        <v>373416.3</v>
      </c>
      <c r="J13" s="20">
        <f>I13-H13</f>
        <v/>
      </c>
      <c r="K13" s="21">
        <f>IFERROR(J13/H13,0)</f>
        <v/>
      </c>
      <c r="L13" s="39">
        <f>I13-G13</f>
        <v/>
      </c>
      <c r="M13" s="22">
        <f>IFERROR(I13/G13,0)</f>
        <v/>
      </c>
      <c r="N13" s="40" t="n"/>
    </row>
    <row r="14">
      <c r="A14" s="16" t="inlineStr">
        <is>
          <t>1.11</t>
        </is>
      </c>
      <c r="B14" s="17" t="inlineStr">
        <is>
          <t>GPC013 AREQUIPA NUEVO</t>
        </is>
      </c>
      <c r="C14" s="18" t="n">
        <v>520000</v>
      </c>
      <c r="D14" s="18" t="n">
        <v>442737</v>
      </c>
      <c r="E14" s="19" t="n">
        <v>0.3233</v>
      </c>
      <c r="F14" s="18">
        <f>D14*(1-E14)</f>
        <v/>
      </c>
      <c r="G14" s="18">
        <f>F14*$G$1</f>
        <v/>
      </c>
      <c r="H14" s="18" t="n">
        <v>542400.42</v>
      </c>
      <c r="I14" s="18" t="n">
        <v>521136.47</v>
      </c>
      <c r="J14" s="20">
        <f>I14-H14</f>
        <v/>
      </c>
      <c r="K14" s="21">
        <f>IFERROR(J14/H14,0)</f>
        <v/>
      </c>
      <c r="L14" s="39">
        <f>I14-G14</f>
        <v/>
      </c>
      <c r="M14" s="22">
        <f>IFERROR(I14/G14,0)</f>
        <v/>
      </c>
      <c r="N14" s="40" t="n"/>
    </row>
    <row r="15">
      <c r="A15" s="23" t="inlineStr">
        <is>
          <t>1.12</t>
        </is>
      </c>
      <c r="B15" s="17" t="inlineStr">
        <is>
          <t>GPC014 SURQUILLO</t>
        </is>
      </c>
      <c r="C15" s="18" t="n">
        <v>140000</v>
      </c>
      <c r="D15" s="18" t="n">
        <v>83395</v>
      </c>
      <c r="E15" s="19" t="n">
        <v>0.3875</v>
      </c>
      <c r="F15" s="18">
        <f>D15*(1-E15)</f>
        <v/>
      </c>
      <c r="G15" s="18">
        <f>F15*$G$1</f>
        <v/>
      </c>
      <c r="H15" s="18" t="n">
        <v>187073.58</v>
      </c>
      <c r="I15" s="18" t="n">
        <v>192152.37</v>
      </c>
      <c r="J15" s="20">
        <f>I15-H15</f>
        <v/>
      </c>
      <c r="K15" s="21">
        <f>IFERROR(J15/H15,0)</f>
        <v/>
      </c>
      <c r="L15" s="39">
        <f>I15-G15</f>
        <v/>
      </c>
      <c r="M15" s="22">
        <f>IFERROR(I15/G15,0)</f>
        <v/>
      </c>
      <c r="N15" s="40" t="n"/>
    </row>
    <row r="16">
      <c r="A16" s="16" t="inlineStr">
        <is>
          <t>1.13</t>
        </is>
      </c>
      <c r="B16" s="17" t="inlineStr">
        <is>
          <t>GPC015 HUANCAYO</t>
        </is>
      </c>
      <c r="C16" s="18" t="n">
        <v>220000</v>
      </c>
      <c r="D16" s="18" t="n">
        <v>217045</v>
      </c>
      <c r="E16" s="19" t="n">
        <v>0.3394</v>
      </c>
      <c r="F16" s="18">
        <f>D16*(1-E16)</f>
        <v/>
      </c>
      <c r="G16" s="18">
        <f>F16*$G$1</f>
        <v/>
      </c>
      <c r="H16" s="18" t="n">
        <v>270475.09</v>
      </c>
      <c r="I16" s="18" t="n">
        <v>270043.36</v>
      </c>
      <c r="J16" s="20">
        <f>I16-H16</f>
        <v/>
      </c>
      <c r="K16" s="21">
        <f>IFERROR(J16/H16,0)</f>
        <v/>
      </c>
      <c r="L16" s="39">
        <f>I16-G16</f>
        <v/>
      </c>
      <c r="M16" s="22">
        <f>IFERROR(I16/G16,0)</f>
        <v/>
      </c>
      <c r="N16" s="40" t="n"/>
    </row>
    <row r="17">
      <c r="A17" s="23" t="inlineStr">
        <is>
          <t>1.14</t>
        </is>
      </c>
      <c r="B17" s="17" t="inlineStr">
        <is>
          <t>GPC016 LURIN</t>
        </is>
      </c>
      <c r="C17" s="18" t="n">
        <v>190000</v>
      </c>
      <c r="D17" s="18" t="n">
        <v>173167</v>
      </c>
      <c r="E17" s="19" t="n">
        <v>0.3436</v>
      </c>
      <c r="F17" s="18">
        <f>D17*(1-E17)</f>
        <v/>
      </c>
      <c r="G17" s="18">
        <f>F17*$G$1</f>
        <v/>
      </c>
      <c r="H17" s="18" t="n">
        <v>199696.45</v>
      </c>
      <c r="I17" s="18" t="n">
        <v>199042.46</v>
      </c>
      <c r="J17" s="20">
        <f>I17-H17</f>
        <v/>
      </c>
      <c r="K17" s="21">
        <f>IFERROR(J17/H17,0)</f>
        <v/>
      </c>
      <c r="L17" s="39">
        <f>I17-G17</f>
        <v/>
      </c>
      <c r="M17" s="22">
        <f>IFERROR(I17/G17,0)</f>
        <v/>
      </c>
      <c r="N17" s="40" t="n"/>
    </row>
    <row r="18">
      <c r="A18" s="16" t="inlineStr">
        <is>
          <t>1.15</t>
        </is>
      </c>
      <c r="B18" s="17" t="inlineStr">
        <is>
          <t>GPC017 ARRIOLA</t>
        </is>
      </c>
      <c r="C18" s="18" t="n">
        <v>160000</v>
      </c>
      <c r="D18" s="18" t="n">
        <v>152255</v>
      </c>
      <c r="E18" s="19" t="n">
        <v>0.3369</v>
      </c>
      <c r="F18" s="18">
        <f>D18*(1-E18)</f>
        <v/>
      </c>
      <c r="G18" s="18">
        <f>F18*$G$1</f>
        <v/>
      </c>
      <c r="H18" s="18" t="n">
        <v>129874.99</v>
      </c>
      <c r="I18" s="18" t="n">
        <v>131463.16</v>
      </c>
      <c r="J18" s="20">
        <f>I18-H18</f>
        <v/>
      </c>
      <c r="K18" s="21">
        <f>IFERROR(J18/H18,0)</f>
        <v/>
      </c>
      <c r="L18" s="39">
        <f>I18-G18</f>
        <v/>
      </c>
      <c r="M18" s="22">
        <f>IFERROR(I18/G18,0)</f>
        <v/>
      </c>
      <c r="N18" s="40" t="n"/>
    </row>
    <row r="19">
      <c r="A19" s="23" t="inlineStr">
        <is>
          <t>1.16</t>
        </is>
      </c>
      <c r="B19" s="17" t="inlineStr">
        <is>
          <t>GPC018 VILLA EL SALVADOR</t>
        </is>
      </c>
      <c r="C19" s="18" t="n">
        <v>130000</v>
      </c>
      <c r="D19" s="18" t="n">
        <v>93416</v>
      </c>
      <c r="E19" s="19" t="n">
        <v>0.3948</v>
      </c>
      <c r="F19" s="18">
        <f>D19*(1-E19)</f>
        <v/>
      </c>
      <c r="G19" s="18">
        <f>F19*$G$1</f>
        <v/>
      </c>
      <c r="H19" s="18" t="n">
        <v>154002.32</v>
      </c>
      <c r="I19" s="18" t="n">
        <v>157999.12</v>
      </c>
      <c r="J19" s="20">
        <f>I19-H19</f>
        <v/>
      </c>
      <c r="K19" s="21">
        <f>IFERROR(J19/H19,0)</f>
        <v/>
      </c>
      <c r="L19" s="39">
        <f>I19-G19</f>
        <v/>
      </c>
      <c r="M19" s="22">
        <f>IFERROR(I19/G19,0)</f>
        <v/>
      </c>
      <c r="N19" s="40" t="n"/>
    </row>
    <row r="20">
      <c r="A20" s="16" t="inlineStr">
        <is>
          <t>1.17</t>
        </is>
      </c>
      <c r="B20" s="17" t="inlineStr">
        <is>
          <t>GPC020 CHORRILLOS</t>
        </is>
      </c>
      <c r="C20" s="18" t="n">
        <v>130000</v>
      </c>
      <c r="D20" s="18" t="n">
        <v>93198</v>
      </c>
      <c r="E20" s="19" t="n">
        <v>0.3506</v>
      </c>
      <c r="F20" s="18">
        <f>D20*(1-E20)</f>
        <v/>
      </c>
      <c r="G20" s="18">
        <f>F20*$G$1</f>
        <v/>
      </c>
      <c r="H20" s="18" t="n">
        <v>194575.19</v>
      </c>
      <c r="I20" s="18" t="n">
        <v>196491.3</v>
      </c>
      <c r="J20" s="20">
        <f>I20-H20</f>
        <v/>
      </c>
      <c r="K20" s="21">
        <f>IFERROR(J20/H20,0)</f>
        <v/>
      </c>
      <c r="L20" s="39">
        <f>I20-G20</f>
        <v/>
      </c>
      <c r="M20" s="22">
        <f>IFERROR(I20/G20,0)</f>
        <v/>
      </c>
      <c r="N20" s="40" t="n"/>
    </row>
    <row r="21">
      <c r="A21" s="23" t="inlineStr">
        <is>
          <t>1.18</t>
        </is>
      </c>
      <c r="B21" s="17" t="inlineStr">
        <is>
          <t>GPC021 PUENTE PIEDRA</t>
        </is>
      </c>
      <c r="C21" s="18" t="n">
        <v>130000</v>
      </c>
      <c r="D21" s="18" t="n">
        <v>111699</v>
      </c>
      <c r="E21" s="19" t="n">
        <v>0.3352</v>
      </c>
      <c r="F21" s="18">
        <f>D21*(1-E21)</f>
        <v/>
      </c>
      <c r="G21" s="18">
        <f>F21*$G$1</f>
        <v/>
      </c>
      <c r="H21" s="18" t="n">
        <v>293297.34</v>
      </c>
      <c r="I21" s="18" t="n">
        <v>307689.52</v>
      </c>
      <c r="J21" s="20">
        <f>I21-H21</f>
        <v/>
      </c>
      <c r="K21" s="21">
        <f>IFERROR(J21/H21,0)</f>
        <v/>
      </c>
      <c r="L21" s="39">
        <f>I21-G21</f>
        <v/>
      </c>
      <c r="M21" s="22">
        <f>IFERROR(I21/G21,0)</f>
        <v/>
      </c>
      <c r="N21" s="40" t="n"/>
    </row>
    <row r="22">
      <c r="A22" s="16" t="inlineStr">
        <is>
          <t>1.19</t>
        </is>
      </c>
      <c r="B22" s="17" t="inlineStr">
        <is>
          <t>GPC022 HUACHIPA</t>
        </is>
      </c>
      <c r="C22" s="18" t="n">
        <v>180000</v>
      </c>
      <c r="D22" s="18" t="n">
        <v>136306</v>
      </c>
      <c r="E22" s="19" t="n">
        <v>0.3142</v>
      </c>
      <c r="F22" s="18">
        <f>D22*(1-E22)</f>
        <v/>
      </c>
      <c r="G22" s="18">
        <f>F22*$G$1</f>
        <v/>
      </c>
      <c r="H22" s="18" t="n">
        <v>261854.59</v>
      </c>
      <c r="I22" s="18" t="n">
        <v>256900.95</v>
      </c>
      <c r="J22" s="20">
        <f>I22-H22</f>
        <v/>
      </c>
      <c r="K22" s="21">
        <f>IFERROR(J22/H22,0)</f>
        <v/>
      </c>
      <c r="L22" s="39">
        <f>I22-G22</f>
        <v/>
      </c>
      <c r="M22" s="22">
        <f>IFERROR(I22/G22,0)</f>
        <v/>
      </c>
      <c r="N22" s="40" t="n"/>
    </row>
    <row r="23">
      <c r="A23" s="23" t="inlineStr">
        <is>
          <t>1.20</t>
        </is>
      </c>
      <c r="B23" s="17" t="inlineStr">
        <is>
          <t>GPC023 AREQUIPA MIRAFLORES</t>
        </is>
      </c>
      <c r="C23" s="18" t="n">
        <v>100000</v>
      </c>
      <c r="D23" s="18" t="n">
        <v>40946</v>
      </c>
      <c r="E23" s="19" t="n">
        <v>0.3656</v>
      </c>
      <c r="F23" s="18">
        <f>D23*(1-E23)</f>
        <v/>
      </c>
      <c r="G23" s="18">
        <f>F23*$G$1</f>
        <v/>
      </c>
      <c r="H23" s="18" t="n">
        <v>119354.69</v>
      </c>
      <c r="I23" s="18" t="n">
        <v>116626.71</v>
      </c>
      <c r="J23" s="20">
        <f>I23-H23</f>
        <v/>
      </c>
      <c r="K23" s="21">
        <f>IFERROR(J23/H23,0)</f>
        <v/>
      </c>
      <c r="L23" s="39">
        <f>I23-G23</f>
        <v/>
      </c>
      <c r="M23" s="22">
        <f>IFERROR(I23/G23,0)</f>
        <v/>
      </c>
      <c r="N23" s="40" t="n"/>
    </row>
    <row r="24">
      <c r="A24" s="16" t="inlineStr">
        <is>
          <t>1.21</t>
        </is>
      </c>
      <c r="B24" s="17" t="inlineStr">
        <is>
          <t>GPC024 CAJAMARCA</t>
        </is>
      </c>
      <c r="C24" s="18" t="n">
        <v>100000</v>
      </c>
      <c r="D24" s="18" t="n">
        <v>69634</v>
      </c>
      <c r="E24" s="19" t="n">
        <v>0.3767</v>
      </c>
      <c r="F24" s="18">
        <f>D24*(1-E24)</f>
        <v/>
      </c>
      <c r="G24" s="18">
        <f>F24*$G$1</f>
        <v/>
      </c>
      <c r="H24" s="18" t="n">
        <v>180372.3</v>
      </c>
      <c r="I24" s="18" t="n">
        <v>174804.92</v>
      </c>
      <c r="J24" s="20">
        <f>I24-H24</f>
        <v/>
      </c>
      <c r="K24" s="21">
        <f>IFERROR(J24/H24,0)</f>
        <v/>
      </c>
      <c r="L24" s="39">
        <f>I24-G24</f>
        <v/>
      </c>
      <c r="M24" s="22">
        <f>IFERROR(I24/G24,0)</f>
        <v/>
      </c>
      <c r="N24" s="40" t="n"/>
    </row>
    <row r="25">
      <c r="A25" s="23" t="inlineStr">
        <is>
          <t>1.22</t>
        </is>
      </c>
      <c r="B25" s="17" t="inlineStr">
        <is>
          <t>GPC025 ICA</t>
        </is>
      </c>
      <c r="C25" s="18" t="n">
        <v>110000</v>
      </c>
      <c r="D25" s="18" t="n">
        <v>99569</v>
      </c>
      <c r="E25" s="19" t="n">
        <v>0.3899</v>
      </c>
      <c r="F25" s="18">
        <f>D25*(1-E25)</f>
        <v/>
      </c>
      <c r="G25" s="18">
        <f>F25*$G$1</f>
        <v/>
      </c>
      <c r="H25" s="18" t="n">
        <v>303236.84</v>
      </c>
      <c r="I25" s="18" t="n">
        <v>255024.24</v>
      </c>
      <c r="J25" s="20">
        <f>I25-H25</f>
        <v/>
      </c>
      <c r="K25" s="21">
        <f>IFERROR(J25/H25,0)</f>
        <v/>
      </c>
      <c r="L25" s="39">
        <f>I25-G25</f>
        <v/>
      </c>
      <c r="M25" s="22">
        <f>IFERROR(I25/G25,0)</f>
        <v/>
      </c>
      <c r="N25" s="40" t="n"/>
    </row>
    <row r="26">
      <c r="A26" s="23" t="inlineStr">
        <is>
          <t>1.23</t>
        </is>
      </c>
      <c r="B26" s="17" t="inlineStr">
        <is>
          <t>GPC026 ABANCAY</t>
        </is>
      </c>
      <c r="C26" s="18" t="n">
        <v>90000</v>
      </c>
      <c r="D26" s="18" t="n">
        <v>59640</v>
      </c>
      <c r="E26" s="19" t="n">
        <v>0.3888</v>
      </c>
      <c r="F26" s="18">
        <f>D26*(1-E26)</f>
        <v/>
      </c>
      <c r="G26" s="18">
        <f>F26*$G$1</f>
        <v/>
      </c>
      <c r="H26" s="18" t="n">
        <v>244381.92</v>
      </c>
      <c r="I26" s="18" t="n">
        <v>239750.75</v>
      </c>
      <c r="J26" s="20">
        <f>I26-H26</f>
        <v/>
      </c>
      <c r="K26" s="21">
        <f>IFERROR(J26/H26,0)</f>
        <v/>
      </c>
      <c r="L26" s="39">
        <f>I26-G26</f>
        <v/>
      </c>
      <c r="M26" s="22">
        <f>IFERROR(I26/G26,0)</f>
        <v/>
      </c>
      <c r="N26" s="40" t="n"/>
    </row>
    <row r="27">
      <c r="A27" s="11" t="n">
        <v>2</v>
      </c>
      <c r="B27" s="12" t="inlineStr">
        <is>
          <t>CANAL CORPORATIVO + VIRTUAL</t>
        </is>
      </c>
      <c r="C27" s="13">
        <f>SUM(C28:C29)</f>
        <v/>
      </c>
      <c r="D27" s="13">
        <f>SUM(D28:D29)</f>
        <v/>
      </c>
      <c r="E27" s="14">
        <f>IFERROR(1-F27/D27,0)</f>
        <v/>
      </c>
      <c r="F27" s="13">
        <f>SUM(F28:F29)</f>
        <v/>
      </c>
      <c r="G27" s="13">
        <f>SUM(G28:G29)</f>
        <v/>
      </c>
      <c r="H27" s="13">
        <f>SUM(H28:H29)</f>
        <v/>
      </c>
      <c r="I27" s="13">
        <f>SUM(I28:I29)</f>
        <v/>
      </c>
      <c r="J27" s="13">
        <f>SUM(J28:J29)</f>
        <v/>
      </c>
      <c r="K27" s="15">
        <f>IFERROR(J27/H27,0)</f>
        <v/>
      </c>
      <c r="L27" s="41">
        <f>SUM(L28:L29)</f>
        <v/>
      </c>
      <c r="M27" s="15">
        <f>IFERROR(I27/G27,0)</f>
        <v/>
      </c>
      <c r="N27" s="40" t="n"/>
    </row>
    <row r="28">
      <c r="A28" s="16" t="inlineStr">
        <is>
          <t>2.1</t>
        </is>
      </c>
      <c r="B28" s="17" t="inlineStr">
        <is>
          <t>GPC004 TIENDA VIRTUAL</t>
        </is>
      </c>
      <c r="C28" s="17" t="n">
        <v>170000</v>
      </c>
      <c r="D28" s="17" t="n">
        <v>136842</v>
      </c>
      <c r="E28" s="37" t="n">
        <v>0.363</v>
      </c>
      <c r="F28" s="17">
        <f>D28*(1-E28)</f>
        <v/>
      </c>
      <c r="G28" s="17">
        <f>F28*$G$1</f>
        <v/>
      </c>
      <c r="H28" s="17" t="n">
        <v>32877.63</v>
      </c>
      <c r="I28" s="17" t="n">
        <v>33941.2</v>
      </c>
      <c r="J28" s="38">
        <f>I28-H28</f>
        <v/>
      </c>
      <c r="K28" s="21">
        <f>IFERROR(J28/H28,0)</f>
        <v/>
      </c>
      <c r="L28" s="39">
        <f>I28-G28</f>
        <v/>
      </c>
      <c r="M28" s="22">
        <f>IFERROR(I28/G28,0)</f>
        <v/>
      </c>
      <c r="N28" s="40" t="n"/>
    </row>
    <row r="29">
      <c r="A29" s="16" t="inlineStr">
        <is>
          <t>2.2</t>
        </is>
      </c>
      <c r="B29" s="17" t="inlineStr">
        <is>
          <t>GPC005 CORPORATIVO</t>
        </is>
      </c>
      <c r="C29" s="18" t="n">
        <v>620000</v>
      </c>
      <c r="D29" s="18" t="n">
        <v>480828</v>
      </c>
      <c r="E29" s="37" t="n">
        <v>0.3252</v>
      </c>
      <c r="F29" s="18">
        <f>D29*(1-E29)</f>
        <v/>
      </c>
      <c r="G29" s="18">
        <f>F29*$G$1</f>
        <v/>
      </c>
      <c r="H29" s="18" t="n">
        <v>58173.88</v>
      </c>
      <c r="I29" s="18" t="n">
        <v>70134.99000000001</v>
      </c>
      <c r="J29" s="24">
        <f>I29-H29</f>
        <v/>
      </c>
      <c r="K29" s="21">
        <f>IFERROR(J29/H29,0)</f>
        <v/>
      </c>
      <c r="L29" s="39">
        <f>I29-G29</f>
        <v/>
      </c>
      <c r="M29" s="22">
        <f>IFERROR(I29/G29,0)</f>
        <v/>
      </c>
      <c r="N29" s="40" t="n"/>
    </row>
    <row r="30">
      <c r="A30" s="25" t="n">
        <v>3</v>
      </c>
      <c r="B30" s="26" t="inlineStr">
        <is>
          <t>CENTRO DISTRIBUCION</t>
        </is>
      </c>
      <c r="C30" s="27" t="n"/>
      <c r="D30" s="27" t="n"/>
      <c r="E30" s="28" t="n"/>
      <c r="F30" s="27" t="n"/>
      <c r="G30" s="27">
        <f>G3+G27</f>
        <v/>
      </c>
      <c r="H30" s="27" t="n">
        <v>4508735.5</v>
      </c>
      <c r="I30" s="27" t="n">
        <v>4384169.67</v>
      </c>
      <c r="J30" s="27">
        <f>I30-H30</f>
        <v/>
      </c>
      <c r="K30" s="29">
        <f>IFERROR(J30/H30,0)</f>
        <v/>
      </c>
      <c r="L30" s="41">
        <f>I30-G30</f>
        <v/>
      </c>
      <c r="M30" s="29">
        <f>IFERROR(I30/G30,0)</f>
        <v/>
      </c>
      <c r="N30" s="40" t="n"/>
    </row>
    <row r="31">
      <c r="A31" s="30" t="n">
        <v>4</v>
      </c>
      <c r="B31" s="31" t="inlineStr">
        <is>
          <t>TOTAL GPC</t>
        </is>
      </c>
      <c r="C31" s="32">
        <f>C3+C27+C30</f>
        <v/>
      </c>
      <c r="D31" s="32">
        <f>D3+D27+D30</f>
        <v/>
      </c>
      <c r="E31" s="33">
        <f>IFERROR(1-F31/D31,0)</f>
        <v/>
      </c>
      <c r="F31" s="32">
        <f>F3+F27+F30</f>
        <v/>
      </c>
      <c r="G31" s="32">
        <f>G3+G27+G30</f>
        <v/>
      </c>
      <c r="H31" s="32">
        <f>H3+H27+H30</f>
        <v/>
      </c>
      <c r="I31" s="32">
        <f>I3+I27+I30</f>
        <v/>
      </c>
      <c r="J31" s="32">
        <f>J3+J27+J30</f>
        <v/>
      </c>
      <c r="K31" s="34">
        <f>IFERROR(J31/H31,0)</f>
        <v/>
      </c>
      <c r="L31" s="41">
        <f>L3+L27+L30</f>
        <v/>
      </c>
      <c r="M31" s="34">
        <f>IFERROR(I31/G31,0)</f>
        <v/>
      </c>
      <c r="N31" s="40" t="n"/>
    </row>
    <row r="32">
      <c r="A32" s="2" t="n"/>
      <c r="B32" s="3" t="n"/>
      <c r="C32" s="3" t="n"/>
      <c r="D32" s="3" t="n"/>
      <c r="E32" s="4" t="n"/>
      <c r="F32" s="4" t="n"/>
      <c r="G32" s="4" t="n"/>
      <c r="H32" s="4" t="n"/>
      <c r="I32" s="4" t="n"/>
      <c r="J32" s="6" t="n"/>
      <c r="K32" s="5" t="n"/>
      <c r="L32" s="42" t="n"/>
      <c r="M32" s="5" t="n"/>
      <c r="N32" s="40" t="n"/>
    </row>
  </sheetData>
  <autoFilter ref="A2:M31"/>
  <conditionalFormatting sqref="N4:N32">
    <cfRule type="iconSet" priority="8">
      <iconSet iconSet="4TrafficLights" showValue="1" percent="0" reverse="0">
        <cfvo type="num" val="0"/>
        <cfvo type="num" val="0.9"/>
        <cfvo type="num" val="1"/>
        <cfvo type="num" val="1.2"/>
      </iconSet>
    </cfRule>
  </conditionalFormatting>
  <conditionalFormatting sqref="L4:L32">
    <cfRule type="iconSet" priority="9">
      <iconSet iconSet="3TrafficLights1" showValue="1" percent="0" reverse="0">
        <cfvo type="num" val="-999"/>
        <cfvo type="num" val="0"/>
        <cfvo type="num" val="0.02"/>
      </iconSet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10" defaultColWidth="8.88671875" defaultRowHeight="14.4"/>
  <cols>
    <col width="28" customWidth="1" min="1" max="1"/>
    <col width="120" customWidth="1" min="2" max="2"/>
  </cols>
  <sheetData>
    <row r="1">
      <c r="A1" s="35" t="inlineStr">
        <is>
          <t>Fuente / Validacion</t>
        </is>
      </c>
      <c r="B1" s="35" t="inlineStr">
        <is>
          <t>Detalle</t>
        </is>
      </c>
    </row>
    <row r="2">
      <c r="A2" s="36" t="inlineStr">
        <is>
          <t>Modelo base</t>
        </is>
      </c>
      <c r="B2" s="36" t="inlineStr">
        <is>
          <t>C:\Users\Manuel Coaquera\Desktop\INVENTARIO TIENDAS\PPTO INVENTATIOS\11. PPTO INVENTARIO\12. Diciembre.xlsx | Hoja1</t>
        </is>
      </c>
    </row>
    <row r="3">
      <c r="A3" s="36" t="inlineStr">
        <is>
          <t>Correccion venta acumulada</t>
        </is>
      </c>
      <c r="B3" s="36" t="inlineStr">
        <is>
          <t>Se usa la columna Venta acumulada del cuadro de cumplimiento de ventas, no la columna Venta [S/.] del pivote de margen.</t>
        </is>
      </c>
    </row>
    <row r="4">
      <c r="A4" s="36" t="inlineStr">
        <is>
          <t>Formula costo de venta</t>
        </is>
      </c>
      <c r="B4" s="36" t="inlineStr">
        <is>
          <t>Venta acumulada * (1 - Mg Real [%]). Si se requiere divisi?n literal entre margen, avisar porque cambia radicalmente el resultado.</t>
        </is>
      </c>
    </row>
    <row r="5" ht="28.8" customHeight="1">
      <c r="A5" s="36" t="inlineStr">
        <is>
          <t>GPC004/GPC005</t>
        </is>
      </c>
      <c r="B5" s="36" t="inlineStr">
        <is>
          <t>Objetivo mensual y venta acumulada tomados del cuadro de cumplimiento; margen tomado de 12. Diciembre.xlsx / Hoja1 porque no aparece en la imagen Mg Real.</t>
        </is>
      </c>
    </row>
    <row r="6">
      <c r="A6" s="36" t="inlineStr">
        <is>
          <t>Semaforo Cump. %</t>
        </is>
      </c>
      <c r="B6" s="36" t="inlineStr">
        <is>
          <t>Rojo &lt;90%, amarillo 90%-99.99%, verde 100%-120%, azul &gt;120%.</t>
        </is>
      </c>
    </row>
    <row r="7">
      <c r="A7" s="36" t="inlineStr">
        <is>
          <t>Semaforo Dif [%] Inventario</t>
        </is>
      </c>
      <c r="B7" s="36" t="inlineStr">
        <is>
          <t>Rojo si baja vs 02/05, amarillo entre 0% y 2%, verde si sube &gt;2%.</t>
        </is>
      </c>
    </row>
    <row r="8">
      <c r="A8" s="36" t="inlineStr">
        <is>
          <t>Stock 02/05</t>
        </is>
      </c>
      <c r="B8" s="36" t="inlineStr">
        <is>
          <t>C:\Users\Manuel Coaquera\Desktop\INVENTARIO TIENDAS\03. MAESTROS\STOCK GPC 02.05.2026.xlsx</t>
        </is>
      </c>
    </row>
    <row r="9">
      <c r="A9" s="36" t="inlineStr">
        <is>
          <t>Stock 08/05</t>
        </is>
      </c>
      <c r="B9" s="36" t="inlineStr">
        <is>
          <t>\\192.168.5.51\rms\CESAR\erp-sync\stock-snapshots\2026-05-08\stock_todas_las_tiendas_2026-05-08_1013.xlsx</t>
        </is>
      </c>
    </row>
    <row r="10">
      <c r="A10" t="inlineStr">
        <is>
          <t>Actualizacion semaforo</t>
        </is>
      </c>
      <c r="B10" t="inlineStr">
        <is>
          <t>Se quitaron colores de letra/relleno en columnas L y N; se dejaron iconos de semaforo. Cump.% usa 4 niveles: &lt;90%, 90%-99.99%, 100%-120%, &gt;120%.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Felipe Cabellos Medrano</dc:creator>
  <dcterms:created xmlns:dcterms="http://purl.org/dc/terms/" xmlns:xsi="http://www.w3.org/2001/XMLSchema-instance" xsi:type="dcterms:W3CDTF">2025-11-11T14:34:01Z</dcterms:created>
  <dcterms:modified xmlns:dcterms="http://purl.org/dc/terms/" xmlns:xsi="http://www.w3.org/2001/XMLSchema-instance" xsi:type="dcterms:W3CDTF">2026-05-08T21:58:57Z</dcterms:modified>
  <cp:lastModifiedBy>na187</cp:lastModifiedBy>
</cp:coreProperties>
</file>