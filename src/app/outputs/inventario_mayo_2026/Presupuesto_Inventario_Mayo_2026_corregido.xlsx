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uel Coaquera\ciclicos\src\app\outputs\inventario_mayo_2026\"/>
    </mc:Choice>
  </mc:AlternateContent>
  <xr:revisionPtr revIDLastSave="0" documentId="13_ncr:1_{7FEBDBED-1DAC-44FA-975B-4C05178104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_xlnm._FilterDatabase" localSheetId="0" hidden="1">Hoja1!$A$2:$M$31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0" i="1" l="1"/>
  <c r="K30" i="1" s="1"/>
  <c r="J29" i="1"/>
  <c r="K29" i="1" s="1"/>
  <c r="F29" i="1"/>
  <c r="J28" i="1"/>
  <c r="F28" i="1"/>
  <c r="F27" i="1" s="1"/>
  <c r="I27" i="1"/>
  <c r="H27" i="1"/>
  <c r="D27" i="1"/>
  <c r="C27" i="1"/>
  <c r="J26" i="1"/>
  <c r="K26" i="1" s="1"/>
  <c r="F26" i="1"/>
  <c r="J25" i="1"/>
  <c r="K25" i="1" s="1"/>
  <c r="F25" i="1"/>
  <c r="J24" i="1"/>
  <c r="K24" i="1" s="1"/>
  <c r="F24" i="1"/>
  <c r="J23" i="1"/>
  <c r="K23" i="1" s="1"/>
  <c r="F23" i="1"/>
  <c r="J22" i="1"/>
  <c r="K22" i="1" s="1"/>
  <c r="F22" i="1"/>
  <c r="J21" i="1"/>
  <c r="K21" i="1" s="1"/>
  <c r="F21" i="1"/>
  <c r="J20" i="1"/>
  <c r="K20" i="1" s="1"/>
  <c r="F20" i="1"/>
  <c r="J19" i="1"/>
  <c r="K19" i="1" s="1"/>
  <c r="F19" i="1"/>
  <c r="J18" i="1"/>
  <c r="K18" i="1" s="1"/>
  <c r="F18" i="1"/>
  <c r="J17" i="1"/>
  <c r="K17" i="1" s="1"/>
  <c r="F17" i="1"/>
  <c r="J16" i="1"/>
  <c r="K16" i="1" s="1"/>
  <c r="F16" i="1"/>
  <c r="J15" i="1"/>
  <c r="K15" i="1" s="1"/>
  <c r="F15" i="1"/>
  <c r="J14" i="1"/>
  <c r="K14" i="1" s="1"/>
  <c r="F14" i="1"/>
  <c r="J13" i="1"/>
  <c r="K13" i="1" s="1"/>
  <c r="F13" i="1"/>
  <c r="J12" i="1"/>
  <c r="K12" i="1" s="1"/>
  <c r="F12" i="1"/>
  <c r="J11" i="1"/>
  <c r="K11" i="1" s="1"/>
  <c r="F11" i="1"/>
  <c r="J10" i="1"/>
  <c r="K10" i="1" s="1"/>
  <c r="F10" i="1"/>
  <c r="J9" i="1"/>
  <c r="K9" i="1" s="1"/>
  <c r="F9" i="1"/>
  <c r="J8" i="1"/>
  <c r="F8" i="1"/>
  <c r="J7" i="1"/>
  <c r="K7" i="1" s="1"/>
  <c r="F7" i="1"/>
  <c r="J6" i="1"/>
  <c r="K6" i="1" s="1"/>
  <c r="F6" i="1"/>
  <c r="J5" i="1"/>
  <c r="K5" i="1" s="1"/>
  <c r="F5" i="1"/>
  <c r="J4" i="1"/>
  <c r="K4" i="1" s="1"/>
  <c r="F4" i="1"/>
  <c r="I3" i="1"/>
  <c r="H3" i="1"/>
  <c r="D3" i="1"/>
  <c r="C3" i="1"/>
  <c r="G1" i="1"/>
  <c r="E27" i="1" l="1"/>
  <c r="H31" i="1"/>
  <c r="D31" i="1"/>
  <c r="C31" i="1"/>
  <c r="G23" i="1"/>
  <c r="F3" i="1"/>
  <c r="K8" i="1"/>
  <c r="J3" i="1"/>
  <c r="K28" i="1"/>
  <c r="J27" i="1"/>
  <c r="K27" i="1" s="1"/>
  <c r="G29" i="1"/>
  <c r="G28" i="1"/>
  <c r="G24" i="1"/>
  <c r="G22" i="1"/>
  <c r="G21" i="1"/>
  <c r="G20" i="1"/>
  <c r="G19" i="1"/>
  <c r="G17" i="1"/>
  <c r="G15" i="1"/>
  <c r="G14" i="1"/>
  <c r="G11" i="1"/>
  <c r="G9" i="1"/>
  <c r="G16" i="1"/>
  <c r="G13" i="1"/>
  <c r="G8" i="1"/>
  <c r="G5" i="1"/>
  <c r="G26" i="1"/>
  <c r="G25" i="1"/>
  <c r="G18" i="1"/>
  <c r="G12" i="1"/>
  <c r="G10" i="1"/>
  <c r="G7" i="1"/>
  <c r="G6" i="1"/>
  <c r="G4" i="1"/>
  <c r="I31" i="1"/>
  <c r="L23" i="1" l="1"/>
  <c r="M23" i="1"/>
  <c r="F31" i="1"/>
  <c r="E31" i="1" s="1"/>
  <c r="E3" i="1"/>
  <c r="M7" i="1"/>
  <c r="L7" i="1"/>
  <c r="L6" i="1"/>
  <c r="M6" i="1"/>
  <c r="L4" i="1"/>
  <c r="M4" i="1"/>
  <c r="K3" i="1"/>
  <c r="J31" i="1"/>
  <c r="K31" i="1" s="1"/>
  <c r="L8" i="1"/>
  <c r="M8" i="1"/>
  <c r="M5" i="1"/>
  <c r="L5" i="1"/>
  <c r="L26" i="1"/>
  <c r="M26" i="1"/>
  <c r="L25" i="1"/>
  <c r="M25" i="1"/>
  <c r="L18" i="1"/>
  <c r="M18" i="1"/>
  <c r="L12" i="1"/>
  <c r="M12" i="1"/>
  <c r="L10" i="1"/>
  <c r="M10" i="1"/>
  <c r="L29" i="1"/>
  <c r="M29" i="1"/>
  <c r="G27" i="1"/>
  <c r="M28" i="1"/>
  <c r="L28" i="1"/>
  <c r="L24" i="1"/>
  <c r="M24" i="1"/>
  <c r="L22" i="1"/>
  <c r="M22" i="1"/>
  <c r="L21" i="1"/>
  <c r="M21" i="1"/>
  <c r="L20" i="1"/>
  <c r="M20" i="1"/>
  <c r="L19" i="1"/>
  <c r="M19" i="1"/>
  <c r="M17" i="1"/>
  <c r="L17" i="1"/>
  <c r="L15" i="1"/>
  <c r="M15" i="1"/>
  <c r="L14" i="1"/>
  <c r="M14" i="1"/>
  <c r="M11" i="1"/>
  <c r="L11" i="1"/>
  <c r="L9" i="1"/>
  <c r="M9" i="1"/>
  <c r="G3" i="1"/>
  <c r="M3" i="1" s="1"/>
  <c r="L16" i="1"/>
  <c r="M16" i="1"/>
  <c r="M13" i="1"/>
  <c r="L13" i="1"/>
  <c r="L3" i="1" l="1"/>
  <c r="L27" i="1"/>
  <c r="M27" i="1"/>
  <c r="G30" i="1"/>
  <c r="G31" i="1" s="1"/>
  <c r="M31" i="1" s="1"/>
  <c r="L30" i="1" l="1"/>
  <c r="L31" i="1" s="1"/>
  <c r="M3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B25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Validar cruce: en stock aparece GPC025 como GPC025 APU - ABANCAY / GPC025 APU - ABANCAY. Se conserva nombre de presupuesto/margen.</t>
        </r>
      </text>
    </comment>
    <comment ref="B26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Validar cruce: en stock aparece GPC026 como GPC026 ICA - ICA / GPC026 ICA - ICA. Se conserva nombre de presupuesto/margen.</t>
        </r>
      </text>
    </comment>
    <comment ref="E28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Margen tomado del modelo 12. Diciembre.xlsx / Hoja1 porque no aparece en la imagen de Mg Real.</t>
        </r>
      </text>
    </comment>
    <comment ref="E29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Margen tomado del modelo 12. Diciembre.xlsx / Hoja1 porque no aparece en la imagen de Mg Real.</t>
        </r>
      </text>
    </comment>
  </commentList>
</comments>
</file>

<file path=xl/sharedStrings.xml><?xml version="1.0" encoding="utf-8"?>
<sst xmlns="http://schemas.openxmlformats.org/spreadsheetml/2006/main" count="69" uniqueCount="69">
  <si>
    <t>Presupuesto de Inventario Mayo 2026 - corregido</t>
  </si>
  <si>
    <t>Factor</t>
  </si>
  <si>
    <t>Nro.</t>
  </si>
  <si>
    <t>TIENDA</t>
  </si>
  <si>
    <t>Ppto May 26</t>
  </si>
  <si>
    <t>Venta acumulada</t>
  </si>
  <si>
    <t>Margen %</t>
  </si>
  <si>
    <t>Costo de venta</t>
  </si>
  <si>
    <t>Ppto
Inventario</t>
  </si>
  <si>
    <t>02/05/2026
VALORIZADO INVENTARIO</t>
  </si>
  <si>
    <t>08/05/2026
VALORIZADO INVENTARIO</t>
  </si>
  <si>
    <t>Dif [S/]
Inventario</t>
  </si>
  <si>
    <t>Dif [%]
Inventario</t>
  </si>
  <si>
    <t>Dif [S/]
Resp ppto</t>
  </si>
  <si>
    <t>Cump. %</t>
  </si>
  <si>
    <t>CANAL RETAIL</t>
  </si>
  <si>
    <t>1.1</t>
  </si>
  <si>
    <t>GPC001 PERLA</t>
  </si>
  <si>
    <t>1.2</t>
  </si>
  <si>
    <t>GPC002 SUMINISTRO</t>
  </si>
  <si>
    <t>1.3</t>
  </si>
  <si>
    <t>GPC003 GRUPO</t>
  </si>
  <si>
    <t>1.4</t>
  </si>
  <si>
    <t>GPC006 CALLAO</t>
  </si>
  <si>
    <t>1.5</t>
  </si>
  <si>
    <t>GPC007 TRUJILLO</t>
  </si>
  <si>
    <t>1.6</t>
  </si>
  <si>
    <t>GPC008 CH. DIAMANTE</t>
  </si>
  <si>
    <t>1.7</t>
  </si>
  <si>
    <t>GPC009 CH. LEGUIA</t>
  </si>
  <si>
    <t>1.8</t>
  </si>
  <si>
    <t>GPC010 ARBOLEDA</t>
  </si>
  <si>
    <t>1.9</t>
  </si>
  <si>
    <t>GPC011 NARANJAL</t>
  </si>
  <si>
    <t>1.10</t>
  </si>
  <si>
    <t>GPC012 PIURA</t>
  </si>
  <si>
    <t>1.11</t>
  </si>
  <si>
    <t>GPC013 AREQUIPA NUEVO</t>
  </si>
  <si>
    <t>1.12</t>
  </si>
  <si>
    <t>GPC014 SURQUILLO</t>
  </si>
  <si>
    <t>1.13</t>
  </si>
  <si>
    <t>GPC015 HUANCAYO</t>
  </si>
  <si>
    <t>1.14</t>
  </si>
  <si>
    <t>GPC016 LURIN</t>
  </si>
  <si>
    <t>1.15</t>
  </si>
  <si>
    <t>GPC017 ARRIOLA</t>
  </si>
  <si>
    <t>1.16</t>
  </si>
  <si>
    <t>GPC018 VILLA EL SALVADOR</t>
  </si>
  <si>
    <t>1.17</t>
  </si>
  <si>
    <t>GPC020 CHORRILLOS</t>
  </si>
  <si>
    <t>1.18</t>
  </si>
  <si>
    <t>GPC021 PUENTE PIEDRA</t>
  </si>
  <si>
    <t>1.19</t>
  </si>
  <si>
    <t>GPC022 HUACHIPA</t>
  </si>
  <si>
    <t>1.20</t>
  </si>
  <si>
    <t>GPC023 AREQUIPA MIRAFLORES</t>
  </si>
  <si>
    <t>1.21</t>
  </si>
  <si>
    <t>GPC024 CAJAMARCA</t>
  </si>
  <si>
    <t>1.22</t>
  </si>
  <si>
    <t>GPC025 ICA</t>
  </si>
  <si>
    <t>1.23</t>
  </si>
  <si>
    <t>GPC026 ABANCAY</t>
  </si>
  <si>
    <t>CANAL CORPORATIVO + VIRTUAL</t>
  </si>
  <si>
    <t>2.1</t>
  </si>
  <si>
    <t>GPC004 TIENDA VIRTUAL</t>
  </si>
  <si>
    <t>2.2</t>
  </si>
  <si>
    <t>GPC005 CORPORATIVO</t>
  </si>
  <si>
    <t>CENTRO DISTRIBUCION</t>
  </si>
  <si>
    <t>TOTAL GPC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</si>
</sst>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1F4E78"/>
      <name val="Calibri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EAF7"/>
      </patternFill>
    </fill>
    <fill>
      <patternFill patternType="solid">
        <fgColor rgb="FFFFF200"/>
      </patternFill>
    </fill>
    <fill>
      <patternFill patternType="solid">
        <fgColor rgb="FFE7E6E6"/>
      </patternFill>
    </fill>
    <fill>
      <patternFill patternType="solid">
        <fgColor rgb="FFBFBFB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9" fontId="1" fillId="0" borderId="0"/>
  </cellStyleXfs>
  <cellXfs count="37">
    <xf numFmtId="0" fontId="0" fillId="0" borderId="0" xfId="0"/>
    <xf numFmtId="2" fontId="0" fillId="0" borderId="0" xfId="0" applyNumberForma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3" fontId="2" fillId="2" borderId="1" xfId="0" applyNumberFormat="1" applyFont="1" applyFill="1" applyBorder="1"/>
    <xf numFmtId="10" fontId="2" fillId="2" borderId="1" xfId="1" applyNumberFormat="1" applyFont="1" applyFill="1" applyBorder="1"/>
    <xf numFmtId="3" fontId="2" fillId="2" borderId="1" xfId="0" applyNumberFormat="1" applyFont="1" applyFill="1" applyBorder="1" applyAlignment="1">
      <alignment horizontal="right" vertic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4" fillId="4" borderId="2" xfId="0" applyFont="1" applyFill="1" applyBorder="1" applyAlignment="1">
      <alignment horizontal="center" vertical="center" wrapText="1"/>
    </xf>
    <xf numFmtId="16" fontId="4" fillId="4" borderId="2" xfId="0" applyNumberFormat="1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/>
    </xf>
    <xf numFmtId="0" fontId="4" fillId="5" borderId="3" xfId="0" applyFont="1" applyFill="1" applyBorder="1" applyAlignment="1">
      <alignment vertical="center"/>
    </xf>
    <xf numFmtId="3" fontId="4" fillId="5" borderId="3" xfId="0" applyNumberFormat="1" applyFont="1" applyFill="1" applyBorder="1" applyAlignment="1">
      <alignment horizontal="right"/>
    </xf>
    <xf numFmtId="10" fontId="4" fillId="5" borderId="3" xfId="0" applyNumberFormat="1" applyFont="1" applyFill="1" applyBorder="1" applyAlignment="1">
      <alignment horizontal="right"/>
    </xf>
    <xf numFmtId="10" fontId="4" fillId="5" borderId="3" xfId="1" applyNumberFormat="1" applyFont="1" applyFill="1" applyBorder="1" applyAlignment="1">
      <alignment horizontal="right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vertical="center"/>
    </xf>
    <xf numFmtId="3" fontId="0" fillId="0" borderId="3" xfId="0" applyNumberFormat="1" applyBorder="1" applyAlignment="1">
      <alignment horizontal="right"/>
    </xf>
    <xf numFmtId="10" fontId="0" fillId="0" borderId="3" xfId="0" applyNumberFormat="1" applyBorder="1" applyAlignment="1">
      <alignment horizontal="right"/>
    </xf>
    <xf numFmtId="3" fontId="2" fillId="0" borderId="3" xfId="0" applyNumberFormat="1" applyFont="1" applyBorder="1" applyAlignment="1">
      <alignment horizontal="right"/>
    </xf>
    <xf numFmtId="10" fontId="1" fillId="0" borderId="3" xfId="1" applyNumberFormat="1" applyBorder="1" applyAlignment="1">
      <alignment horizontal="right"/>
    </xf>
    <xf numFmtId="10" fontId="0" fillId="0" borderId="3" xfId="1" applyNumberFormat="1" applyFont="1" applyBorder="1" applyAlignment="1">
      <alignment horizontal="right"/>
    </xf>
    <xf numFmtId="2" fontId="0" fillId="0" borderId="3" xfId="0" applyNumberFormat="1" applyBorder="1" applyAlignment="1">
      <alignment horizontal="center"/>
    </xf>
    <xf numFmtId="3" fontId="2" fillId="3" borderId="3" xfId="0" applyNumberFormat="1" applyFont="1" applyFill="1" applyBorder="1" applyAlignment="1">
      <alignment horizontal="right"/>
    </xf>
    <xf numFmtId="0" fontId="4" fillId="6" borderId="3" xfId="0" applyFont="1" applyFill="1" applyBorder="1" applyAlignment="1">
      <alignment horizontal="center"/>
    </xf>
    <xf numFmtId="0" fontId="4" fillId="6" borderId="3" xfId="0" applyFont="1" applyFill="1" applyBorder="1" applyAlignment="1">
      <alignment vertical="center"/>
    </xf>
    <xf numFmtId="3" fontId="4" fillId="6" borderId="3" xfId="0" applyNumberFormat="1" applyFont="1" applyFill="1" applyBorder="1" applyAlignment="1">
      <alignment horizontal="right"/>
    </xf>
    <xf numFmtId="10" fontId="4" fillId="6" borderId="3" xfId="0" applyNumberFormat="1" applyFont="1" applyFill="1" applyBorder="1" applyAlignment="1">
      <alignment horizontal="right"/>
    </xf>
    <xf numFmtId="10" fontId="4" fillId="6" borderId="3" xfId="1" applyNumberFormat="1" applyFont="1" applyFill="1" applyBorder="1" applyAlignment="1">
      <alignment horizontal="right"/>
    </xf>
    <xf numFmtId="0" fontId="4" fillId="7" borderId="3" xfId="0" applyFont="1" applyFill="1" applyBorder="1" applyAlignment="1">
      <alignment horizontal="center"/>
    </xf>
    <xf numFmtId="0" fontId="4" fillId="7" borderId="3" xfId="0" applyFont="1" applyFill="1" applyBorder="1" applyAlignment="1">
      <alignment vertical="center"/>
    </xf>
    <xf numFmtId="3" fontId="4" fillId="7" borderId="3" xfId="0" applyNumberFormat="1" applyFont="1" applyFill="1" applyBorder="1" applyAlignment="1">
      <alignment horizontal="right"/>
    </xf>
    <xf numFmtId="10" fontId="4" fillId="7" borderId="3" xfId="0" applyNumberFormat="1" applyFont="1" applyFill="1" applyBorder="1" applyAlignment="1">
      <alignment horizontal="right"/>
    </xf>
    <xf numFmtId="10" fontId="4" fillId="7" borderId="3" xfId="1" applyNumberFormat="1" applyFont="1" applyFill="1" applyBorder="1" applyAlignment="1">
      <alignment horizontal="right"/>
    </xf>
    <xf numFmtId="10" fontId="1" fillId="0" borderId="0" xfId="1" applyNumberFormat="1"/>
    <xf numFmtId="0" fontId="2" fillId="0" borderId="3" xfId="0" applyFont="1" applyBorder="1" applyAlignment="1">
      <alignment vertical="center"/>
    </xf>
  </cellXfs>
  <cellStyles count="2">
    <cellStyle name="Normal" xfId="0" builtinId="0"/>
    <cellStyle name="Porcentaje" xfId="1" builtinId="5"/>
  </cellStyles>
  <dxfs count="7">
    <dxf>
      <font>
        <b/>
        <color rgb="FF1F4E78"/>
      </font>
      <fill>
        <patternFill patternType="solid">
          <fgColor rgb="FFBDD7EE"/>
        </patternFill>
      </fill>
    </dxf>
    <dxf>
      <font>
        <color rgb="FF006100"/>
      </font>
      <fill>
        <patternFill patternType="solid">
          <fgColor rgb="FFC6EFCE"/>
        </patternFill>
      </fill>
    </dxf>
    <dxf>
      <font>
        <color rgb="FF9C6500"/>
      </font>
      <fill>
        <patternFill patternType="solid">
          <fgColor rgb="FFFFF2CC"/>
        </patternFill>
      </fill>
    </dxf>
    <dxf>
      <font>
        <color rgb="FF9C0006"/>
      </font>
      <fill>
        <patternFill patternType="solid">
          <fgColor rgb="FFFFC7CE"/>
        </patternFill>
      </fill>
    </dxf>
    <dxf>
      <font>
        <color rgb="FF006100"/>
      </font>
      <fill>
        <patternFill patternType="solid">
          <fgColor rgb="FFC6EFCE"/>
        </patternFill>
      </fill>
    </dxf>
    <dxf>
      <font>
        <color rgb="FF9C6500"/>
      </font>
      <fill>
        <patternFill patternType="solid">
          <fgColor rgb="FFFFF2CC"/>
        </patternFill>
      </fill>
    </dxf>
    <dxf>
      <font>
        <color rgb="FF9C0006"/>
      </font>
      <fill>
        <patternFill patternType="solid">
          <f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showGridLines="0" tabSelected="1" topLeftCell="A2" zoomScale="84" workbookViewId="0">
      <pane xSplit="2" ySplit="1" topLeftCell="C7" activePane="bottomRight" state="frozen"/>
      <selection activeCell="A2" sqref="A2"/>
      <selection pane="topRight" activeCell="C2" sqref="C2"/>
      <selection pane="bottomLeft" activeCell="A3" sqref="A3"/>
      <selection pane="bottomRight" activeCell="E17" sqref="E17"/>
    </sheetView>
  </sheetViews>
  <sheetFormatPr baseColWidth="10" defaultRowHeight="14.4" x14ac:dyDescent="0.3"/>
  <cols>
    <col min="1" max="1" width="8" customWidth="1"/>
    <col min="2" max="2" width="34" customWidth="1"/>
    <col min="3" max="3" width="14" customWidth="1"/>
    <col min="4" max="4" width="16" customWidth="1"/>
    <col min="5" max="5" width="12" customWidth="1"/>
    <col min="6" max="7" width="15" customWidth="1"/>
    <col min="8" max="9" width="18" customWidth="1"/>
    <col min="10" max="10" width="15" customWidth="1"/>
    <col min="11" max="11" width="13" customWidth="1"/>
    <col min="12" max="12" width="15" customWidth="1"/>
    <col min="13" max="13" width="12" customWidth="1"/>
  </cols>
  <sheetData>
    <row r="1" spans="1:13" ht="24" customHeight="1" x14ac:dyDescent="0.35">
      <c r="A1" s="7" t="s">
        <v>0</v>
      </c>
      <c r="E1" s="1"/>
      <c r="F1" s="8" t="s">
        <v>1</v>
      </c>
      <c r="G1" s="1">
        <f>36/30</f>
        <v>1.2</v>
      </c>
    </row>
    <row r="2" spans="1:13" ht="42" customHeight="1" x14ac:dyDescent="0.3">
      <c r="A2" s="9" t="s">
        <v>2</v>
      </c>
      <c r="B2" s="9" t="s">
        <v>3</v>
      </c>
      <c r="C2" s="9" t="s">
        <v>4</v>
      </c>
      <c r="D2" s="9" t="s">
        <v>5</v>
      </c>
      <c r="E2" s="9" t="s">
        <v>6</v>
      </c>
      <c r="F2" s="10" t="s">
        <v>7</v>
      </c>
      <c r="G2" s="10" t="s">
        <v>8</v>
      </c>
      <c r="H2" s="10" t="s">
        <v>9</v>
      </c>
      <c r="I2" s="10" t="s">
        <v>10</v>
      </c>
      <c r="J2" s="10" t="s">
        <v>11</v>
      </c>
      <c r="K2" s="10" t="s">
        <v>12</v>
      </c>
      <c r="L2" s="10" t="s">
        <v>13</v>
      </c>
      <c r="M2" s="9" t="s">
        <v>14</v>
      </c>
    </row>
    <row r="3" spans="1:13" x14ac:dyDescent="0.3">
      <c r="A3" s="11">
        <v>1</v>
      </c>
      <c r="B3" s="12" t="s">
        <v>15</v>
      </c>
      <c r="C3" s="13">
        <f>SUM(C4:C26)</f>
        <v>6400000</v>
      </c>
      <c r="D3" s="13">
        <f>SUM(D4:D26)</f>
        <v>5433074</v>
      </c>
      <c r="E3" s="14">
        <f>IFERROR(1-F3/D3,0)</f>
        <v>0.33097439587607291</v>
      </c>
      <c r="F3" s="13">
        <f>SUM(F4:F26)</f>
        <v>3634865.615100001</v>
      </c>
      <c r="G3" s="13">
        <f>SUM(G4:G26)</f>
        <v>4361838.7381199999</v>
      </c>
      <c r="H3" s="13">
        <f>SUM(H4:H26)</f>
        <v>6811039.2800000012</v>
      </c>
      <c r="I3" s="13">
        <f>SUM(I4:I26)</f>
        <v>6735858.5899999999</v>
      </c>
      <c r="J3" s="13">
        <f>SUM(J4:J26)</f>
        <v>-75180.690000000061</v>
      </c>
      <c r="K3" s="15">
        <f t="shared" ref="K3:K31" si="0">IFERROR(J3/H3,0)</f>
        <v>-1.1038064370111818E-2</v>
      </c>
      <c r="L3" s="13">
        <f>SUM(L4:L26)</f>
        <v>2374019.8518799995</v>
      </c>
      <c r="M3" s="15">
        <f t="shared" ref="M3:M31" si="1">IFERROR(I3/G3,0)</f>
        <v>1.5442704314426876</v>
      </c>
    </row>
    <row r="4" spans="1:13" x14ac:dyDescent="0.3">
      <c r="A4" s="16" t="s">
        <v>16</v>
      </c>
      <c r="B4" s="17" t="s">
        <v>17</v>
      </c>
      <c r="C4" s="18">
        <v>1000000</v>
      </c>
      <c r="D4" s="18">
        <v>976643</v>
      </c>
      <c r="E4" s="19">
        <v>0.30430000000000001</v>
      </c>
      <c r="F4" s="18">
        <f t="shared" ref="F4:F26" si="2">D4*(1-E4)</f>
        <v>679450.53509999998</v>
      </c>
      <c r="G4" s="18">
        <f t="shared" ref="G4:G26" si="3">F4*$G$1</f>
        <v>815340.64211999997</v>
      </c>
      <c r="H4" s="18">
        <v>584633.46</v>
      </c>
      <c r="I4" s="18">
        <v>553471.29</v>
      </c>
      <c r="J4" s="20">
        <f t="shared" ref="J4:J26" si="4">I4-H4</f>
        <v>-31162.169999999925</v>
      </c>
      <c r="K4" s="21">
        <f t="shared" si="0"/>
        <v>-5.3302063826452778E-2</v>
      </c>
      <c r="L4" s="18">
        <f t="shared" ref="L4:L26" si="5">I4-G4</f>
        <v>-261869.35211999994</v>
      </c>
      <c r="M4" s="22">
        <f t="shared" si="1"/>
        <v>0.6788221528622651</v>
      </c>
    </row>
    <row r="5" spans="1:13" x14ac:dyDescent="0.3">
      <c r="A5" s="16" t="s">
        <v>18</v>
      </c>
      <c r="B5" s="17" t="s">
        <v>19</v>
      </c>
      <c r="C5" s="18">
        <v>320000</v>
      </c>
      <c r="D5" s="18">
        <v>268032</v>
      </c>
      <c r="E5" s="19">
        <v>0.34920000000000001</v>
      </c>
      <c r="F5" s="18">
        <f t="shared" si="2"/>
        <v>174435.22560000001</v>
      </c>
      <c r="G5" s="18">
        <f t="shared" si="3"/>
        <v>209322.27072</v>
      </c>
      <c r="H5" s="18">
        <v>360423.04</v>
      </c>
      <c r="I5" s="18">
        <v>352103.53</v>
      </c>
      <c r="J5" s="20">
        <f t="shared" si="4"/>
        <v>-8319.5099999999511</v>
      </c>
      <c r="K5" s="21">
        <f t="shared" si="0"/>
        <v>-2.3082625350476903E-2</v>
      </c>
      <c r="L5" s="18">
        <f t="shared" si="5"/>
        <v>142781.25928000003</v>
      </c>
      <c r="M5" s="22">
        <f t="shared" si="1"/>
        <v>1.6821121268600769</v>
      </c>
    </row>
    <row r="6" spans="1:13" x14ac:dyDescent="0.3">
      <c r="A6" s="16" t="s">
        <v>20</v>
      </c>
      <c r="B6" s="17" t="s">
        <v>21</v>
      </c>
      <c r="C6" s="18">
        <v>520000</v>
      </c>
      <c r="D6" s="18">
        <v>475878</v>
      </c>
      <c r="E6" s="19">
        <v>0.30109999999999998</v>
      </c>
      <c r="F6" s="18">
        <f t="shared" si="2"/>
        <v>332591.13420000003</v>
      </c>
      <c r="G6" s="18">
        <f t="shared" si="3"/>
        <v>399109.36104000005</v>
      </c>
      <c r="H6" s="18">
        <v>399034.54</v>
      </c>
      <c r="I6" s="18">
        <v>396157.99</v>
      </c>
      <c r="J6" s="20">
        <f t="shared" si="4"/>
        <v>-2876.5499999999884</v>
      </c>
      <c r="K6" s="21">
        <f t="shared" si="0"/>
        <v>-7.2087744584716611E-3</v>
      </c>
      <c r="L6" s="18">
        <f t="shared" si="5"/>
        <v>-2951.3710400000564</v>
      </c>
      <c r="M6" s="22">
        <f t="shared" si="1"/>
        <v>0.9926051069503623</v>
      </c>
    </row>
    <row r="7" spans="1:13" x14ac:dyDescent="0.3">
      <c r="A7" s="16" t="s">
        <v>22</v>
      </c>
      <c r="B7" s="17" t="s">
        <v>23</v>
      </c>
      <c r="C7" s="18">
        <v>230000</v>
      </c>
      <c r="D7" s="18">
        <v>172419</v>
      </c>
      <c r="E7" s="19">
        <v>0.32400000000000001</v>
      </c>
      <c r="F7" s="18">
        <f t="shared" si="2"/>
        <v>116555.24399999999</v>
      </c>
      <c r="G7" s="18">
        <f t="shared" si="3"/>
        <v>139866.2928</v>
      </c>
      <c r="H7" s="18">
        <v>247623.72</v>
      </c>
      <c r="I7" s="18">
        <v>261417.63</v>
      </c>
      <c r="J7" s="20">
        <f t="shared" si="4"/>
        <v>13793.910000000003</v>
      </c>
      <c r="K7" s="21">
        <f t="shared" si="0"/>
        <v>5.570512388716236E-2</v>
      </c>
      <c r="L7" s="18">
        <f t="shared" si="5"/>
        <v>121551.33720000001</v>
      </c>
      <c r="M7" s="22">
        <f t="shared" si="1"/>
        <v>1.8690538282430262</v>
      </c>
    </row>
    <row r="8" spans="1:13" x14ac:dyDescent="0.3">
      <c r="A8" s="16" t="s">
        <v>24</v>
      </c>
      <c r="B8" s="17" t="s">
        <v>25</v>
      </c>
      <c r="C8" s="18">
        <v>520000</v>
      </c>
      <c r="D8" s="18">
        <v>457966</v>
      </c>
      <c r="E8" s="19">
        <v>0.34889999999999999</v>
      </c>
      <c r="F8" s="18">
        <f t="shared" si="2"/>
        <v>298181.66259999998</v>
      </c>
      <c r="G8" s="18">
        <f t="shared" si="3"/>
        <v>357817.99511999998</v>
      </c>
      <c r="H8" s="18">
        <v>453263.56</v>
      </c>
      <c r="I8" s="18">
        <v>460495.42</v>
      </c>
      <c r="J8" s="20">
        <f t="shared" si="4"/>
        <v>7231.859999999986</v>
      </c>
      <c r="K8" s="21">
        <f t="shared" si="0"/>
        <v>1.595508802869568E-2</v>
      </c>
      <c r="L8" s="18">
        <f t="shared" si="5"/>
        <v>102677.42488000001</v>
      </c>
      <c r="M8" s="22">
        <f t="shared" si="1"/>
        <v>1.2869543351098525</v>
      </c>
    </row>
    <row r="9" spans="1:13" x14ac:dyDescent="0.3">
      <c r="A9" s="16" t="s">
        <v>26</v>
      </c>
      <c r="B9" s="17" t="s">
        <v>27</v>
      </c>
      <c r="C9" s="18">
        <v>320000</v>
      </c>
      <c r="D9" s="18">
        <v>300258</v>
      </c>
      <c r="E9" s="19">
        <v>0.32100000000000001</v>
      </c>
      <c r="F9" s="18">
        <f t="shared" si="2"/>
        <v>203875.182</v>
      </c>
      <c r="G9" s="18">
        <f t="shared" si="3"/>
        <v>244650.21839999998</v>
      </c>
      <c r="H9" s="18">
        <v>369247.44</v>
      </c>
      <c r="I9" s="18">
        <v>372870.47</v>
      </c>
      <c r="J9" s="20">
        <f t="shared" si="4"/>
        <v>3623.0299999999697</v>
      </c>
      <c r="K9" s="21">
        <f t="shared" si="0"/>
        <v>9.8119299080312375E-3</v>
      </c>
      <c r="L9" s="18">
        <f t="shared" si="5"/>
        <v>128220.25159999999</v>
      </c>
      <c r="M9" s="22">
        <f t="shared" si="1"/>
        <v>1.5240962073876489</v>
      </c>
    </row>
    <row r="10" spans="1:13" x14ac:dyDescent="0.3">
      <c r="A10" s="16" t="s">
        <v>28</v>
      </c>
      <c r="B10" s="17" t="s">
        <v>29</v>
      </c>
      <c r="C10" s="18">
        <v>250000</v>
      </c>
      <c r="D10" s="18">
        <v>187287</v>
      </c>
      <c r="E10" s="19">
        <v>0.30659999999999998</v>
      </c>
      <c r="F10" s="18">
        <f t="shared" si="2"/>
        <v>129864.8058</v>
      </c>
      <c r="G10" s="18">
        <f t="shared" si="3"/>
        <v>155837.76696000001</v>
      </c>
      <c r="H10" s="18">
        <v>354052.6</v>
      </c>
      <c r="I10" s="18">
        <v>363767.88</v>
      </c>
      <c r="J10" s="20">
        <f t="shared" si="4"/>
        <v>9715.2800000000279</v>
      </c>
      <c r="K10" s="21">
        <f t="shared" si="0"/>
        <v>2.7440216510202238E-2</v>
      </c>
      <c r="L10" s="18">
        <f t="shared" si="5"/>
        <v>207930.11304</v>
      </c>
      <c r="M10" s="22">
        <f t="shared" si="1"/>
        <v>2.3342729243121849</v>
      </c>
    </row>
    <row r="11" spans="1:13" x14ac:dyDescent="0.3">
      <c r="A11" s="16" t="s">
        <v>30</v>
      </c>
      <c r="B11" s="17" t="s">
        <v>31</v>
      </c>
      <c r="C11" s="18">
        <v>310000</v>
      </c>
      <c r="D11" s="18">
        <v>300748</v>
      </c>
      <c r="E11" s="19">
        <v>0.33610000000000001</v>
      </c>
      <c r="F11" s="18">
        <f t="shared" si="2"/>
        <v>199666.59719999999</v>
      </c>
      <c r="G11" s="18">
        <f t="shared" si="3"/>
        <v>239599.91663999998</v>
      </c>
      <c r="H11" s="18">
        <v>293419.92</v>
      </c>
      <c r="I11" s="18">
        <v>293343.98</v>
      </c>
      <c r="J11" s="20">
        <f t="shared" si="4"/>
        <v>-75.940000000002328</v>
      </c>
      <c r="K11" s="21">
        <f t="shared" si="0"/>
        <v>-2.5880996763956015E-4</v>
      </c>
      <c r="L11" s="18">
        <f t="shared" si="5"/>
        <v>53744.06336</v>
      </c>
      <c r="M11" s="22">
        <f t="shared" si="1"/>
        <v>1.2243075211113312</v>
      </c>
    </row>
    <row r="12" spans="1:13" x14ac:dyDescent="0.3">
      <c r="A12" s="16" t="s">
        <v>32</v>
      </c>
      <c r="B12" s="17" t="s">
        <v>33</v>
      </c>
      <c r="C12" s="18">
        <v>300000</v>
      </c>
      <c r="D12" s="18">
        <v>189502</v>
      </c>
      <c r="E12" s="19">
        <v>0.31929999999999997</v>
      </c>
      <c r="F12" s="18">
        <f t="shared" si="2"/>
        <v>128994.01140000002</v>
      </c>
      <c r="G12" s="18">
        <f t="shared" si="3"/>
        <v>154792.81368000002</v>
      </c>
      <c r="H12" s="18">
        <v>286670.39</v>
      </c>
      <c r="I12" s="18">
        <v>289688.77</v>
      </c>
      <c r="J12" s="20">
        <f t="shared" si="4"/>
        <v>3018.3800000000047</v>
      </c>
      <c r="K12" s="21">
        <f t="shared" si="0"/>
        <v>1.0529095802325467E-2</v>
      </c>
      <c r="L12" s="18">
        <f t="shared" si="5"/>
        <v>134895.95632</v>
      </c>
      <c r="M12" s="22">
        <f t="shared" si="1"/>
        <v>1.8714613625337131</v>
      </c>
    </row>
    <row r="13" spans="1:13" x14ac:dyDescent="0.3">
      <c r="A13" s="23" t="s">
        <v>34</v>
      </c>
      <c r="B13" s="17" t="s">
        <v>35</v>
      </c>
      <c r="C13" s="18">
        <v>430000</v>
      </c>
      <c r="D13" s="18">
        <v>331334</v>
      </c>
      <c r="E13" s="19">
        <v>0.36259999999999998</v>
      </c>
      <c r="F13" s="18">
        <f t="shared" si="2"/>
        <v>211192.2916</v>
      </c>
      <c r="G13" s="18">
        <f t="shared" si="3"/>
        <v>253430.74991999997</v>
      </c>
      <c r="H13" s="18">
        <v>382074.89</v>
      </c>
      <c r="I13" s="18">
        <v>373416.3</v>
      </c>
      <c r="J13" s="20">
        <f t="shared" si="4"/>
        <v>-8658.5900000000256</v>
      </c>
      <c r="K13" s="21">
        <f t="shared" si="0"/>
        <v>-2.2662023144206168E-2</v>
      </c>
      <c r="L13" s="18">
        <f t="shared" si="5"/>
        <v>119985.55008000002</v>
      </c>
      <c r="M13" s="22">
        <f t="shared" si="1"/>
        <v>1.4734451131832882</v>
      </c>
    </row>
    <row r="14" spans="1:13" x14ac:dyDescent="0.3">
      <c r="A14" s="16" t="s">
        <v>36</v>
      </c>
      <c r="B14" s="17" t="s">
        <v>37</v>
      </c>
      <c r="C14" s="18">
        <v>520000</v>
      </c>
      <c r="D14" s="18">
        <v>442737</v>
      </c>
      <c r="E14" s="19">
        <v>0.32329999999999998</v>
      </c>
      <c r="F14" s="18">
        <f t="shared" si="2"/>
        <v>299600.12790000002</v>
      </c>
      <c r="G14" s="18">
        <f t="shared" si="3"/>
        <v>359520.15348000004</v>
      </c>
      <c r="H14" s="18">
        <v>542400.42000000004</v>
      </c>
      <c r="I14" s="18">
        <v>521136.47</v>
      </c>
      <c r="J14" s="20">
        <f t="shared" si="4"/>
        <v>-21263.95000000007</v>
      </c>
      <c r="K14" s="21">
        <f t="shared" si="0"/>
        <v>-3.9203417283489694E-2</v>
      </c>
      <c r="L14" s="18">
        <f t="shared" si="5"/>
        <v>161616.31651999993</v>
      </c>
      <c r="M14" s="22">
        <f t="shared" si="1"/>
        <v>1.4495333987695089</v>
      </c>
    </row>
    <row r="15" spans="1:13" x14ac:dyDescent="0.3">
      <c r="A15" s="23" t="s">
        <v>38</v>
      </c>
      <c r="B15" s="17" t="s">
        <v>39</v>
      </c>
      <c r="C15" s="18">
        <v>140000</v>
      </c>
      <c r="D15" s="18">
        <v>83395</v>
      </c>
      <c r="E15" s="19">
        <v>0.38750000000000001</v>
      </c>
      <c r="F15" s="18">
        <f t="shared" si="2"/>
        <v>51079.437500000007</v>
      </c>
      <c r="G15" s="18">
        <f t="shared" si="3"/>
        <v>61295.325000000004</v>
      </c>
      <c r="H15" s="18">
        <v>187073.58</v>
      </c>
      <c r="I15" s="18">
        <v>192152.37</v>
      </c>
      <c r="J15" s="20">
        <f t="shared" si="4"/>
        <v>5078.7900000000081</v>
      </c>
      <c r="K15" s="21">
        <f t="shared" si="0"/>
        <v>2.714862248319623E-2</v>
      </c>
      <c r="L15" s="18">
        <f t="shared" si="5"/>
        <v>130857.04499999998</v>
      </c>
      <c r="M15" s="22">
        <f t="shared" si="1"/>
        <v>3.1348617533229488</v>
      </c>
    </row>
    <row r="16" spans="1:13" x14ac:dyDescent="0.3">
      <c r="A16" s="16" t="s">
        <v>40</v>
      </c>
      <c r="B16" s="17" t="s">
        <v>41</v>
      </c>
      <c r="C16" s="18">
        <v>220000</v>
      </c>
      <c r="D16" s="18">
        <v>217045</v>
      </c>
      <c r="E16" s="19">
        <v>0.33939999999999998</v>
      </c>
      <c r="F16" s="18">
        <f t="shared" si="2"/>
        <v>143379.92700000003</v>
      </c>
      <c r="G16" s="18">
        <f t="shared" si="3"/>
        <v>172055.91240000003</v>
      </c>
      <c r="H16" s="18">
        <v>270475.09000000003</v>
      </c>
      <c r="I16" s="18">
        <v>270043.36</v>
      </c>
      <c r="J16" s="20">
        <f t="shared" si="4"/>
        <v>-431.73000000003958</v>
      </c>
      <c r="K16" s="21">
        <f t="shared" si="0"/>
        <v>-1.5961913535181356E-3</v>
      </c>
      <c r="L16" s="18">
        <f t="shared" si="5"/>
        <v>97987.447599999956</v>
      </c>
      <c r="M16" s="22">
        <f t="shared" si="1"/>
        <v>1.5695093312004078</v>
      </c>
    </row>
    <row r="17" spans="1:13" x14ac:dyDescent="0.3">
      <c r="A17" s="23" t="s">
        <v>42</v>
      </c>
      <c r="B17" s="17" t="s">
        <v>43</v>
      </c>
      <c r="C17" s="18">
        <v>190000</v>
      </c>
      <c r="D17" s="18">
        <v>173167</v>
      </c>
      <c r="E17" s="19">
        <v>0.34360000000000002</v>
      </c>
      <c r="F17" s="18">
        <f t="shared" si="2"/>
        <v>113666.81879999999</v>
      </c>
      <c r="G17" s="18">
        <f t="shared" si="3"/>
        <v>136400.18255999999</v>
      </c>
      <c r="H17" s="18">
        <v>199696.45</v>
      </c>
      <c r="I17" s="18">
        <v>199042.46</v>
      </c>
      <c r="J17" s="20">
        <f t="shared" si="4"/>
        <v>-653.99000000001979</v>
      </c>
      <c r="K17" s="21">
        <f t="shared" si="0"/>
        <v>-3.2749205106050697E-3</v>
      </c>
      <c r="L17" s="18">
        <f t="shared" si="5"/>
        <v>62642.277440000005</v>
      </c>
      <c r="M17" s="22">
        <f t="shared" si="1"/>
        <v>1.4592536187584997</v>
      </c>
    </row>
    <row r="18" spans="1:13" x14ac:dyDescent="0.3">
      <c r="A18" s="16" t="s">
        <v>44</v>
      </c>
      <c r="B18" s="17" t="s">
        <v>45</v>
      </c>
      <c r="C18" s="18">
        <v>160000</v>
      </c>
      <c r="D18" s="18">
        <v>152255</v>
      </c>
      <c r="E18" s="19">
        <v>0.33689999999999998</v>
      </c>
      <c r="F18" s="18">
        <f t="shared" si="2"/>
        <v>100960.2905</v>
      </c>
      <c r="G18" s="18">
        <f t="shared" si="3"/>
        <v>121152.3486</v>
      </c>
      <c r="H18" s="18">
        <v>129874.99</v>
      </c>
      <c r="I18" s="18">
        <v>131463.16</v>
      </c>
      <c r="J18" s="20">
        <f t="shared" si="4"/>
        <v>1588.1699999999983</v>
      </c>
      <c r="K18" s="21">
        <f t="shared" si="0"/>
        <v>1.2228451374664192E-2</v>
      </c>
      <c r="L18" s="18">
        <f t="shared" si="5"/>
        <v>10310.811400000006</v>
      </c>
      <c r="M18" s="22">
        <f t="shared" si="1"/>
        <v>1.0851061619452584</v>
      </c>
    </row>
    <row r="19" spans="1:13" x14ac:dyDescent="0.3">
      <c r="A19" s="23" t="s">
        <v>46</v>
      </c>
      <c r="B19" s="17" t="s">
        <v>47</v>
      </c>
      <c r="C19" s="18">
        <v>130000</v>
      </c>
      <c r="D19" s="18">
        <v>93416</v>
      </c>
      <c r="E19" s="19">
        <v>0.39479999999999998</v>
      </c>
      <c r="F19" s="18">
        <f t="shared" si="2"/>
        <v>56535.3632</v>
      </c>
      <c r="G19" s="18">
        <f t="shared" si="3"/>
        <v>67842.435839999991</v>
      </c>
      <c r="H19" s="18">
        <v>154002.32</v>
      </c>
      <c r="I19" s="18">
        <v>157999.12</v>
      </c>
      <c r="J19" s="20">
        <f t="shared" si="4"/>
        <v>3996.7999999999884</v>
      </c>
      <c r="K19" s="21">
        <f t="shared" si="0"/>
        <v>2.5952855775159673E-2</v>
      </c>
      <c r="L19" s="18">
        <f t="shared" si="5"/>
        <v>90156.684160000004</v>
      </c>
      <c r="M19" s="22">
        <f t="shared" si="1"/>
        <v>2.3289128411106299</v>
      </c>
    </row>
    <row r="20" spans="1:13" x14ac:dyDescent="0.3">
      <c r="A20" s="16" t="s">
        <v>48</v>
      </c>
      <c r="B20" s="17" t="s">
        <v>49</v>
      </c>
      <c r="C20" s="18">
        <v>130000</v>
      </c>
      <c r="D20" s="18">
        <v>93198</v>
      </c>
      <c r="E20" s="19">
        <v>0.35060000000000002</v>
      </c>
      <c r="F20" s="18">
        <f t="shared" si="2"/>
        <v>60522.781199999998</v>
      </c>
      <c r="G20" s="18">
        <f t="shared" si="3"/>
        <v>72627.337439999988</v>
      </c>
      <c r="H20" s="18">
        <v>194575.19</v>
      </c>
      <c r="I20" s="18">
        <v>196491.3</v>
      </c>
      <c r="J20" s="20">
        <f t="shared" si="4"/>
        <v>1916.109999999986</v>
      </c>
      <c r="K20" s="21">
        <f t="shared" si="0"/>
        <v>9.8476583782340695E-3</v>
      </c>
      <c r="L20" s="18">
        <f t="shared" si="5"/>
        <v>123863.96256</v>
      </c>
      <c r="M20" s="22">
        <f t="shared" si="1"/>
        <v>2.705472993035555</v>
      </c>
    </row>
    <row r="21" spans="1:13" x14ac:dyDescent="0.3">
      <c r="A21" s="23" t="s">
        <v>50</v>
      </c>
      <c r="B21" s="17" t="s">
        <v>51</v>
      </c>
      <c r="C21" s="18">
        <v>130000</v>
      </c>
      <c r="D21" s="18">
        <v>111699</v>
      </c>
      <c r="E21" s="19">
        <v>0.3352</v>
      </c>
      <c r="F21" s="18">
        <f t="shared" si="2"/>
        <v>74257.495200000005</v>
      </c>
      <c r="G21" s="18">
        <f t="shared" si="3"/>
        <v>89108.99424</v>
      </c>
      <c r="H21" s="18">
        <v>293297.34000000003</v>
      </c>
      <c r="I21" s="18">
        <v>307689.52</v>
      </c>
      <c r="J21" s="20">
        <f t="shared" si="4"/>
        <v>14392.179999999993</v>
      </c>
      <c r="K21" s="21">
        <f t="shared" si="0"/>
        <v>4.9070271145316188E-2</v>
      </c>
      <c r="L21" s="18">
        <f t="shared" si="5"/>
        <v>218580.52576000002</v>
      </c>
      <c r="M21" s="22">
        <f t="shared" si="1"/>
        <v>3.4529569391310866</v>
      </c>
    </row>
    <row r="22" spans="1:13" x14ac:dyDescent="0.3">
      <c r="A22" s="16" t="s">
        <v>52</v>
      </c>
      <c r="B22" s="17" t="s">
        <v>53</v>
      </c>
      <c r="C22" s="18">
        <v>180000</v>
      </c>
      <c r="D22" s="18">
        <v>136306</v>
      </c>
      <c r="E22" s="19">
        <v>0.31419999999999998</v>
      </c>
      <c r="F22" s="18">
        <f t="shared" si="2"/>
        <v>93478.654799999989</v>
      </c>
      <c r="G22" s="18">
        <f t="shared" si="3"/>
        <v>112174.38575999999</v>
      </c>
      <c r="H22" s="18">
        <v>261854.59</v>
      </c>
      <c r="I22" s="18">
        <v>256900.95</v>
      </c>
      <c r="J22" s="20">
        <f t="shared" si="4"/>
        <v>-4953.6399999999849</v>
      </c>
      <c r="K22" s="21">
        <f t="shared" si="0"/>
        <v>-1.8917522125542978E-2</v>
      </c>
      <c r="L22" s="18">
        <f t="shared" si="5"/>
        <v>144726.56424000004</v>
      </c>
      <c r="M22" s="22">
        <f t="shared" si="1"/>
        <v>2.2901926162506143</v>
      </c>
    </row>
    <row r="23" spans="1:13" x14ac:dyDescent="0.3">
      <c r="A23" s="23" t="s">
        <v>54</v>
      </c>
      <c r="B23" s="17" t="s">
        <v>55</v>
      </c>
      <c r="C23" s="18">
        <v>100000</v>
      </c>
      <c r="D23" s="18">
        <v>40946</v>
      </c>
      <c r="E23" s="19">
        <v>0.36559999999999998</v>
      </c>
      <c r="F23" s="18">
        <f t="shared" si="2"/>
        <v>25976.142400000004</v>
      </c>
      <c r="G23" s="18">
        <f t="shared" si="3"/>
        <v>31171.370880000002</v>
      </c>
      <c r="H23" s="18">
        <v>119354.69</v>
      </c>
      <c r="I23" s="18">
        <v>116626.71</v>
      </c>
      <c r="J23" s="20">
        <f t="shared" si="4"/>
        <v>-2727.9799999999959</v>
      </c>
      <c r="K23" s="21">
        <f t="shared" si="0"/>
        <v>-2.2856077126085249E-2</v>
      </c>
      <c r="L23" s="18">
        <f t="shared" si="5"/>
        <v>85455.339120000004</v>
      </c>
      <c r="M23" s="22">
        <f t="shared" si="1"/>
        <v>3.741468748646835</v>
      </c>
    </row>
    <row r="24" spans="1:13" x14ac:dyDescent="0.3">
      <c r="A24" s="16" t="s">
        <v>56</v>
      </c>
      <c r="B24" s="17" t="s">
        <v>57</v>
      </c>
      <c r="C24" s="18">
        <v>100000</v>
      </c>
      <c r="D24" s="18">
        <v>69634</v>
      </c>
      <c r="E24" s="19">
        <v>0.37669999999999998</v>
      </c>
      <c r="F24" s="18">
        <f t="shared" si="2"/>
        <v>43402.872199999998</v>
      </c>
      <c r="G24" s="18">
        <f t="shared" si="3"/>
        <v>52083.446639999995</v>
      </c>
      <c r="H24" s="18">
        <v>180372.3</v>
      </c>
      <c r="I24" s="18">
        <v>174804.92</v>
      </c>
      <c r="J24" s="20">
        <f t="shared" si="4"/>
        <v>-5567.3799999999756</v>
      </c>
      <c r="K24" s="21">
        <f t="shared" si="0"/>
        <v>-3.0866047613741E-2</v>
      </c>
      <c r="L24" s="18">
        <f t="shared" si="5"/>
        <v>122721.47336000002</v>
      </c>
      <c r="M24" s="22">
        <f t="shared" si="1"/>
        <v>3.3562471625245736</v>
      </c>
    </row>
    <row r="25" spans="1:13" x14ac:dyDescent="0.3">
      <c r="A25" s="23" t="s">
        <v>58</v>
      </c>
      <c r="B25" s="17" t="s">
        <v>59</v>
      </c>
      <c r="C25" s="18">
        <v>110000</v>
      </c>
      <c r="D25" s="18">
        <v>99569</v>
      </c>
      <c r="E25" s="19">
        <v>0.38990000000000002</v>
      </c>
      <c r="F25" s="18">
        <f t="shared" si="2"/>
        <v>60747.046900000001</v>
      </c>
      <c r="G25" s="18">
        <f t="shared" si="3"/>
        <v>72896.456279999999</v>
      </c>
      <c r="H25" s="18">
        <v>303236.84000000003</v>
      </c>
      <c r="I25" s="18">
        <v>255024.24</v>
      </c>
      <c r="J25" s="20">
        <f t="shared" si="4"/>
        <v>-48212.600000000035</v>
      </c>
      <c r="K25" s="21">
        <f t="shared" si="0"/>
        <v>-0.15899321467668648</v>
      </c>
      <c r="L25" s="18">
        <f t="shared" si="5"/>
        <v>182127.78372000001</v>
      </c>
      <c r="M25" s="22">
        <f t="shared" si="1"/>
        <v>3.4984449589762692</v>
      </c>
    </row>
    <row r="26" spans="1:13" x14ac:dyDescent="0.3">
      <c r="A26" s="23" t="s">
        <v>60</v>
      </c>
      <c r="B26" s="17" t="s">
        <v>61</v>
      </c>
      <c r="C26" s="18">
        <v>90000</v>
      </c>
      <c r="D26" s="18">
        <v>59640</v>
      </c>
      <c r="E26" s="19">
        <v>0.38879999999999998</v>
      </c>
      <c r="F26" s="18">
        <f t="shared" si="2"/>
        <v>36451.968000000001</v>
      </c>
      <c r="G26" s="18">
        <f t="shared" si="3"/>
        <v>43742.361599999997</v>
      </c>
      <c r="H26" s="18">
        <v>244381.92</v>
      </c>
      <c r="I26" s="18">
        <v>239750.75</v>
      </c>
      <c r="J26" s="20">
        <f t="shared" si="4"/>
        <v>-4631.1700000000128</v>
      </c>
      <c r="K26" s="21">
        <f t="shared" si="0"/>
        <v>-1.8950542658802305E-2</v>
      </c>
      <c r="L26" s="18">
        <f t="shared" si="5"/>
        <v>196008.3884</v>
      </c>
      <c r="M26" s="22">
        <f t="shared" si="1"/>
        <v>5.4809740770832098</v>
      </c>
    </row>
    <row r="27" spans="1:13" x14ac:dyDescent="0.3">
      <c r="A27" s="11">
        <v>2</v>
      </c>
      <c r="B27" s="12" t="s">
        <v>62</v>
      </c>
      <c r="C27" s="13">
        <f>SUM(C28:C29)</f>
        <v>790000</v>
      </c>
      <c r="D27" s="13">
        <f>SUM(D28:D29)</f>
        <v>617670</v>
      </c>
      <c r="E27" s="14">
        <f>IFERROR(1-F27/D27,0)</f>
        <v>0.33357441935013843</v>
      </c>
      <c r="F27" s="13">
        <f>SUM(F28:F29)</f>
        <v>411631.08840000001</v>
      </c>
      <c r="G27" s="13">
        <f>SUM(G28:G29)</f>
        <v>493957.30608000001</v>
      </c>
      <c r="H27" s="13">
        <f>SUM(H28:H29)</f>
        <v>91051.51</v>
      </c>
      <c r="I27" s="13">
        <f>SUM(I28:I29)</f>
        <v>104076.19</v>
      </c>
      <c r="J27" s="13">
        <f>SUM(J28:J29)</f>
        <v>13024.680000000008</v>
      </c>
      <c r="K27" s="15">
        <f t="shared" si="0"/>
        <v>0.14304738054316735</v>
      </c>
      <c r="L27" s="13">
        <f>SUM(L28:L29)</f>
        <v>-389881.11608000001</v>
      </c>
      <c r="M27" s="15">
        <f t="shared" si="1"/>
        <v>0.21069875618591236</v>
      </c>
    </row>
    <row r="28" spans="1:13" x14ac:dyDescent="0.3">
      <c r="A28" s="16" t="s">
        <v>63</v>
      </c>
      <c r="B28" s="17" t="s">
        <v>64</v>
      </c>
      <c r="C28" s="17">
        <v>170000</v>
      </c>
      <c r="D28" s="17">
        <v>136842</v>
      </c>
      <c r="E28" s="35">
        <v>0.36299999999999999</v>
      </c>
      <c r="F28" s="17">
        <f>D28*(1-E28)</f>
        <v>87168.354000000007</v>
      </c>
      <c r="G28" s="17">
        <f>F28*$G$1</f>
        <v>104602.0248</v>
      </c>
      <c r="H28" s="17">
        <v>32877.629999999997</v>
      </c>
      <c r="I28" s="17">
        <v>33941.199999999997</v>
      </c>
      <c r="J28" s="36">
        <f>I28-H28</f>
        <v>1063.5699999999997</v>
      </c>
      <c r="K28" s="21">
        <f t="shared" si="0"/>
        <v>3.2349351215400862E-2</v>
      </c>
      <c r="L28" s="18">
        <f>I28-G28</f>
        <v>-70660.824800000002</v>
      </c>
      <c r="M28" s="22">
        <f t="shared" si="1"/>
        <v>0.32447937852920028</v>
      </c>
    </row>
    <row r="29" spans="1:13" x14ac:dyDescent="0.3">
      <c r="A29" s="16" t="s">
        <v>65</v>
      </c>
      <c r="B29" s="17" t="s">
        <v>66</v>
      </c>
      <c r="C29" s="18">
        <v>620000</v>
      </c>
      <c r="D29" s="18">
        <v>480828</v>
      </c>
      <c r="E29" s="35">
        <v>0.32519999999999999</v>
      </c>
      <c r="F29" s="18">
        <f>D29*(1-E29)</f>
        <v>324462.73440000002</v>
      </c>
      <c r="G29" s="18">
        <f>F29*$G$1</f>
        <v>389355.28128</v>
      </c>
      <c r="H29" s="18">
        <v>58173.88</v>
      </c>
      <c r="I29" s="18">
        <v>70134.990000000005</v>
      </c>
      <c r="J29" s="24">
        <f>I29-H29</f>
        <v>11961.110000000008</v>
      </c>
      <c r="K29" s="21">
        <f t="shared" si="0"/>
        <v>0.20560963098902821</v>
      </c>
      <c r="L29" s="18">
        <f>I29-G29</f>
        <v>-319220.29128</v>
      </c>
      <c r="M29" s="22">
        <f t="shared" si="1"/>
        <v>0.18013108688145238</v>
      </c>
    </row>
    <row r="30" spans="1:13" x14ac:dyDescent="0.3">
      <c r="A30" s="25">
        <v>3</v>
      </c>
      <c r="B30" s="26" t="s">
        <v>67</v>
      </c>
      <c r="C30" s="27"/>
      <c r="D30" s="27"/>
      <c r="E30" s="28"/>
      <c r="F30" s="27"/>
      <c r="G30" s="27">
        <f>G3+G27</f>
        <v>4855796.0441999994</v>
      </c>
      <c r="H30" s="27">
        <v>4508735.5</v>
      </c>
      <c r="I30" s="27">
        <v>4384169.67</v>
      </c>
      <c r="J30" s="27">
        <f>I30-H30</f>
        <v>-124565.83000000007</v>
      </c>
      <c r="K30" s="29">
        <f t="shared" si="0"/>
        <v>-2.7627664120017704E-2</v>
      </c>
      <c r="L30" s="27">
        <f>I30-G30</f>
        <v>-471626.3741999995</v>
      </c>
      <c r="M30" s="29">
        <f t="shared" si="1"/>
        <v>0.9028735206530486</v>
      </c>
    </row>
    <row r="31" spans="1:13" x14ac:dyDescent="0.3">
      <c r="A31" s="30">
        <v>4</v>
      </c>
      <c r="B31" s="31" t="s">
        <v>68</v>
      </c>
      <c r="C31" s="32">
        <f>C3+C27+C30</f>
        <v>7190000</v>
      </c>
      <c r="D31" s="32">
        <f>D3+D27+D30</f>
        <v>6050744</v>
      </c>
      <c r="E31" s="33">
        <f>IFERROR(1-F31/D31,0)</f>
        <v>0.33123981059188745</v>
      </c>
      <c r="F31" s="32">
        <f>F3+F27+F30</f>
        <v>4046496.7035000008</v>
      </c>
      <c r="G31" s="32">
        <f>G3+G27+G30</f>
        <v>9711592.0883999988</v>
      </c>
      <c r="H31" s="32">
        <f>H3+H27+H30</f>
        <v>11410826.290000001</v>
      </c>
      <c r="I31" s="32">
        <f>I3+I27+I30</f>
        <v>11224104.449999999</v>
      </c>
      <c r="J31" s="32">
        <f>J3+J27+J30</f>
        <v>-186721.84000000014</v>
      </c>
      <c r="K31" s="34">
        <f t="shared" si="0"/>
        <v>-1.6363568706995023E-2</v>
      </c>
      <c r="L31" s="32">
        <f>L3+L27+L30</f>
        <v>1512512.3615999999</v>
      </c>
      <c r="M31" s="34">
        <f t="shared" si="1"/>
        <v>1.1557429871263456</v>
      </c>
    </row>
    <row r="32" spans="1:13" x14ac:dyDescent="0.3">
      <c r="A32" s="2"/>
      <c r="B32" s="3"/>
      <c r="C32" s="3"/>
      <c r="D32" s="3"/>
      <c r="E32" s="4"/>
      <c r="F32" s="4"/>
      <c r="G32" s="4"/>
      <c r="H32" s="4"/>
      <c r="I32" s="4"/>
      <c r="J32" s="6"/>
      <c r="K32" s="5"/>
      <c r="L32" s="4"/>
      <c r="M32" s="5"/>
    </row>
  </sheetData>
  <conditionalFormatting sqref="K4:K31">
    <cfRule type="cellIs" dxfId="6" priority="10" operator="lessThan">
      <formula>0</formula>
    </cfRule>
    <cfRule type="cellIs" dxfId="5" priority="11" operator="between">
      <formula>0</formula>
      <formula>0.02</formula>
    </cfRule>
    <cfRule type="cellIs" dxfId="4" priority="12" operator="greaterThan">
      <formula>0.02</formula>
    </cfRule>
  </conditionalFormatting>
  <conditionalFormatting sqref="M4:M31">
    <cfRule type="cellIs" dxfId="3" priority="6" operator="lessThan">
      <formula>0.9</formula>
    </cfRule>
    <cfRule type="cellIs" dxfId="2" priority="7" operator="between">
      <formula>0.9</formula>
      <formula>0.999999</formula>
    </cfRule>
    <cfRule type="cellIs" dxfId="1" priority="8" operator="between">
      <formula>1</formula>
      <formula>1.2</formula>
    </cfRule>
    <cfRule type="cellIs" dxfId="0" priority="9" operator="greaterThan">
      <formula>1.2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Cabellos Medrano</dc:creator>
  <cp:lastModifiedBy>na187</cp:lastModifiedBy>
  <dcterms:created xsi:type="dcterms:W3CDTF">2025-11-11T14:34:01Z</dcterms:created>
  <dcterms:modified xsi:type="dcterms:W3CDTF">2026-05-08T22:28:27Z</dcterms:modified>
</cp:coreProperties>
</file>